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mixed_signal\"/>
    </mc:Choice>
  </mc:AlternateContent>
  <xr:revisionPtr revIDLastSave="0" documentId="13_ncr:1_{92858F8F-C215-47F6-82F0-0C22760A4CC7}" xr6:coauthVersionLast="47" xr6:coauthVersionMax="47" xr10:uidLastSave="{00000000-0000-0000-0000-000000000000}"/>
  <bookViews>
    <workbookView xWindow="-110" yWindow="-110" windowWidth="19420" windowHeight="10420" tabRatio="603" xr2:uid="{00000000-000D-0000-FFFF-FFFF00000000}"/>
  </bookViews>
  <sheets>
    <sheet name="10u " sheetId="3" r:id="rId1"/>
    <sheet name="20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J8" i="2"/>
  <c r="J9" i="2"/>
  <c r="J10" i="2"/>
  <c r="J11" i="2"/>
  <c r="I11" i="2"/>
  <c r="I10" i="2"/>
  <c r="I9" i="2"/>
  <c r="I8" i="2"/>
  <c r="I7" i="2"/>
  <c r="J1" i="2"/>
  <c r="J2" i="2"/>
  <c r="J3" i="2"/>
  <c r="J4" i="2"/>
  <c r="J5" i="2"/>
  <c r="I5" i="2"/>
  <c r="I4" i="2"/>
  <c r="I3" i="2"/>
  <c r="I2" i="2"/>
  <c r="I1" i="2"/>
  <c r="I53" i="3"/>
  <c r="I52" i="3"/>
  <c r="I51" i="3"/>
  <c r="I50" i="3"/>
  <c r="I49" i="3"/>
  <c r="I41" i="3"/>
  <c r="I40" i="3"/>
  <c r="I39" i="3"/>
  <c r="I38" i="3"/>
  <c r="I37" i="3"/>
  <c r="I22" i="3"/>
  <c r="I21" i="3"/>
  <c r="I20" i="3"/>
  <c r="I19" i="3"/>
  <c r="I18" i="3"/>
  <c r="I5" i="3"/>
  <c r="I4" i="3"/>
  <c r="I3" i="3"/>
  <c r="I2" i="3"/>
  <c r="I1" i="3"/>
  <c r="C58" i="3"/>
  <c r="B58" i="3"/>
  <c r="G57" i="3"/>
  <c r="C56" i="3" s="1"/>
  <c r="F57" i="3"/>
  <c r="B56" i="3" s="1"/>
  <c r="C57" i="3"/>
  <c r="B57" i="3"/>
  <c r="C55" i="3"/>
  <c r="B55" i="3"/>
  <c r="C54" i="3"/>
  <c r="B54" i="3"/>
  <c r="C46" i="3"/>
  <c r="B46" i="3"/>
  <c r="G45" i="3"/>
  <c r="C44" i="3" s="1"/>
  <c r="F45" i="3"/>
  <c r="B44" i="3" s="1"/>
  <c r="C45" i="3"/>
  <c r="B45" i="3"/>
  <c r="C43" i="3"/>
  <c r="B43" i="3"/>
  <c r="C42" i="3"/>
  <c r="B42" i="3"/>
  <c r="C34" i="3"/>
  <c r="B34" i="3"/>
  <c r="G33" i="3"/>
  <c r="C32" i="3" s="1"/>
  <c r="F33" i="3"/>
  <c r="B32" i="3" s="1"/>
  <c r="C33" i="3"/>
  <c r="B33" i="3"/>
  <c r="C31" i="3"/>
  <c r="B31" i="3"/>
  <c r="C30" i="3"/>
  <c r="B30" i="3"/>
  <c r="C22" i="3"/>
  <c r="B22" i="3"/>
  <c r="G21" i="3"/>
  <c r="C20" i="3" s="1"/>
  <c r="F21" i="3"/>
  <c r="B20" i="3" s="1"/>
  <c r="C21" i="3"/>
  <c r="B21" i="3"/>
  <c r="C19" i="3"/>
  <c r="B19" i="3"/>
  <c r="C18" i="3"/>
  <c r="B18" i="3"/>
  <c r="C10" i="3"/>
  <c r="B10" i="3"/>
  <c r="G9" i="3"/>
  <c r="C8" i="3" s="1"/>
  <c r="F9" i="3"/>
  <c r="B8" i="3" s="1"/>
  <c r="C9" i="3"/>
  <c r="B9" i="3"/>
  <c r="C7" i="3"/>
  <c r="B7" i="3"/>
  <c r="C6" i="3"/>
  <c r="B6" i="3"/>
  <c r="C58" i="2"/>
  <c r="B58" i="2"/>
  <c r="G57" i="2"/>
  <c r="C56" i="2" s="1"/>
  <c r="F57" i="2"/>
  <c r="B56" i="2" s="1"/>
  <c r="C57" i="2"/>
  <c r="B57" i="2"/>
  <c r="C55" i="2"/>
  <c r="B55" i="2"/>
  <c r="C54" i="2"/>
  <c r="B54" i="2"/>
  <c r="C46" i="2"/>
  <c r="B46" i="2"/>
  <c r="G45" i="2"/>
  <c r="C44" i="2" s="1"/>
  <c r="F45" i="2"/>
  <c r="B44" i="2" s="1"/>
  <c r="C45" i="2"/>
  <c r="B45" i="2"/>
  <c r="C43" i="2"/>
  <c r="B43" i="2"/>
  <c r="C42" i="2"/>
  <c r="B42" i="2"/>
  <c r="C34" i="2"/>
  <c r="B34" i="2"/>
  <c r="G33" i="2"/>
  <c r="C32" i="2" s="1"/>
  <c r="F33" i="2"/>
  <c r="C33" i="2"/>
  <c r="B33" i="2"/>
  <c r="B32" i="2"/>
  <c r="C31" i="2"/>
  <c r="B31" i="2"/>
  <c r="C30" i="2"/>
  <c r="B30" i="2"/>
  <c r="C22" i="2"/>
  <c r="B22" i="2"/>
  <c r="G21" i="2"/>
  <c r="C20" i="2" s="1"/>
  <c r="F21" i="2"/>
  <c r="B20" i="2" s="1"/>
  <c r="C21" i="2"/>
  <c r="B21" i="2"/>
  <c r="C19" i="2"/>
  <c r="B19" i="2"/>
  <c r="B23" i="2" s="1"/>
  <c r="C18" i="2"/>
  <c r="B18" i="2"/>
  <c r="C11" i="2"/>
  <c r="B11" i="2"/>
  <c r="C10" i="2"/>
  <c r="B10" i="2"/>
  <c r="C9" i="2"/>
  <c r="B9" i="2"/>
  <c r="B8" i="2"/>
  <c r="C8" i="2"/>
  <c r="G9" i="2"/>
  <c r="F9" i="2"/>
  <c r="C7" i="2"/>
  <c r="B7" i="2"/>
  <c r="C6" i="2"/>
  <c r="B6" i="2"/>
  <c r="C59" i="3" l="1"/>
  <c r="B59" i="3"/>
  <c r="C47" i="3"/>
  <c r="B47" i="3"/>
  <c r="C35" i="3"/>
  <c r="B35" i="3"/>
  <c r="C23" i="3"/>
  <c r="B23" i="3"/>
  <c r="C11" i="3"/>
  <c r="B11" i="3"/>
  <c r="C59" i="2"/>
  <c r="B59" i="2"/>
  <c r="C47" i="2"/>
  <c r="B47" i="2"/>
  <c r="C35" i="2"/>
  <c r="B35" i="2"/>
  <c r="C23" i="2"/>
</calcChain>
</file>

<file path=xl/sharedStrings.xml><?xml version="1.0" encoding="utf-8"?>
<sst xmlns="http://schemas.openxmlformats.org/spreadsheetml/2006/main" count="182" uniqueCount="25">
  <si>
    <r>
      <t>Process: umc18 (TT, 25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</si>
  <si>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t>Parameters</t>
    <phoneticPr fontId="1" type="noConversion"/>
  </si>
  <si>
    <t>NMOS</t>
    <phoneticPr fontId="1" type="noConversion"/>
  </si>
  <si>
    <t>PMOS</t>
    <phoneticPr fontId="1" type="noConversion"/>
  </si>
  <si>
    <t>Scale factor: 0.18 um, VDD=1.8 V, ID=10 uA</t>
    <phoneticPr fontId="1" type="noConversion"/>
  </si>
  <si>
    <t>Model name</t>
    <phoneticPr fontId="1" type="noConversion"/>
  </si>
  <si>
    <t xml:space="preserve">PMOS: W=40 um, L=1um; NMOS: W=20 um, L=1 um </t>
    <phoneticPr fontId="1" type="noConversion"/>
  </si>
  <si>
    <t>p_18_mm</t>
    <phoneticPr fontId="1" type="noConversion"/>
  </si>
  <si>
    <t>n_18_mm</t>
    <phoneticPr fontId="1" type="noConversion"/>
  </si>
  <si>
    <t>Beta</t>
    <phoneticPr fontId="1" type="noConversion"/>
  </si>
  <si>
    <t>V_THn,p</t>
    <phoneticPr fontId="1" type="noConversion"/>
  </si>
  <si>
    <t>width</t>
    <phoneticPr fontId="1" type="noConversion"/>
  </si>
  <si>
    <t>length</t>
    <phoneticPr fontId="1" type="noConversion"/>
  </si>
  <si>
    <t>gds</t>
    <phoneticPr fontId="1" type="noConversion"/>
  </si>
  <si>
    <t>ro</t>
    <phoneticPr fontId="1" type="noConversion"/>
  </si>
  <si>
    <t>id</t>
    <phoneticPr fontId="1" type="noConversion"/>
  </si>
  <si>
    <t>cgtot</t>
    <phoneticPr fontId="1" type="noConversion"/>
  </si>
  <si>
    <t>VDD</t>
    <phoneticPr fontId="1" type="noConversion"/>
  </si>
  <si>
    <t>Scale factor: 0.18 um, VDD=1.8 V, ID=20 uA</t>
    <phoneticPr fontId="1" type="noConversion"/>
  </si>
  <si>
    <r>
      <t>Process: umc18 (FF, -10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</si>
  <si>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r>
      <t>Process: umc18 (SS, 110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</si>
  <si>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r>
      <t>Process: umc18 (FF, 110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</si>
  <si>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r>
      <t>Process: umc18 (SS, -10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</si>
  <si>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t xml:space="preserve"> 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</si>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</sst>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0"/>
      <name val="新細明體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5" xfId="0" applyBorder="1"/>
    <xf numFmtId="11" fontId="0" fillId="0" borderId="1" xfId="0" applyNumberFormat="1" applyBorder="1"/>
    <xf numFmtId="176" fontId="0" fillId="0" borderId="1" xfId="0" applyNumberFormat="1" applyBorder="1"/>
    <xf numFmtId="2" fontId="0" fillId="0" borderId="1" xfId="0" applyNumberFormat="1" applyBorder="1"/>
    <xf numFmtId="177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/>
    <xf numFmtId="0" fontId="3" fillId="5" borderId="0" xfId="0" applyFont="1" applyFill="1"/>
    <xf numFmtId="0" fontId="0" fillId="6" borderId="0" xfId="0" applyFill="1"/>
    <xf numFmtId="0" fontId="0" fillId="6" borderId="3" xfId="0" applyFill="1" applyBorder="1"/>
    <xf numFmtId="0" fontId="0" fillId="6" borderId="4" xfId="0" applyFill="1" applyBorder="1"/>
    <xf numFmtId="0" fontId="0" fillId="6" borderId="2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V_THP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FF-411D-999E-3F11CACC30D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FF-411D-999E-3F11CACC30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'!$I$1:$I$5</c:f>
              <c:numCache>
                <c:formatCode>General</c:formatCode>
                <c:ptCount val="5"/>
                <c:pt idx="0">
                  <c:v>0.49430000000000002</c:v>
                </c:pt>
                <c:pt idx="1">
                  <c:v>0.49</c:v>
                </c:pt>
                <c:pt idx="2">
                  <c:v>0.45760000000000001</c:v>
                </c:pt>
                <c:pt idx="3">
                  <c:v>0.39839999999999998</c:v>
                </c:pt>
                <c:pt idx="4">
                  <c:v>0.54910000000000003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11D-999E-3F11CACC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93023"/>
        <c:axId val="1913793503"/>
      </c:barChart>
      <c:catAx>
        <c:axId val="191379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93503"/>
        <c:crosses val="autoZero"/>
        <c:auto val="1"/>
        <c:lblAlgn val="ctr"/>
        <c:lblOffset val="100"/>
        <c:noMultiLvlLbl val="0"/>
      </c:catAx>
      <c:valAx>
        <c:axId val="19137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9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V_THN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AB-4426-8315-7450D8D5251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AB-4426-8315-7450D8D52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'!$I$18:$I$22</c:f>
              <c:numCache>
                <c:formatCode>General</c:formatCode>
                <c:ptCount val="5"/>
                <c:pt idx="0">
                  <c:v>0.38579999999999998</c:v>
                </c:pt>
                <c:pt idx="1">
                  <c:v>0.38590000000000002</c:v>
                </c:pt>
                <c:pt idx="2">
                  <c:v>0.34760000000000002</c:v>
                </c:pt>
                <c:pt idx="3">
                  <c:v>0.29399999999999998</c:v>
                </c:pt>
                <c:pt idx="4">
                  <c:v>0.4395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B-4426-8315-7450D8D52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534479"/>
        <c:axId val="2052535919"/>
      </c:barChart>
      <c:catAx>
        <c:axId val="205253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35919"/>
        <c:crosses val="autoZero"/>
        <c:auto val="1"/>
        <c:lblAlgn val="ctr"/>
        <c:lblOffset val="100"/>
        <c:noMultiLvlLbl val="0"/>
      </c:catAx>
      <c:valAx>
        <c:axId val="205253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3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KP_P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39-41A4-9B52-AFB7D183F5B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39-41A4-9B52-AFB7D183F5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'!$I$37:$I$41</c:f>
              <c:numCache>
                <c:formatCode>General</c:formatCode>
                <c:ptCount val="5"/>
                <c:pt idx="0">
                  <c:v>67.275000000000006</c:v>
                </c:pt>
                <c:pt idx="1">
                  <c:v>80.474999999999994</c:v>
                </c:pt>
                <c:pt idx="2">
                  <c:v>50.199999999999996</c:v>
                </c:pt>
                <c:pt idx="3">
                  <c:v>58.125</c:v>
                </c:pt>
                <c:pt idx="4">
                  <c:v>70.05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9-41A4-9B52-AFB7D183F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61823"/>
        <c:axId val="1913770943"/>
      </c:barChart>
      <c:catAx>
        <c:axId val="191376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70943"/>
        <c:crosses val="autoZero"/>
        <c:auto val="1"/>
        <c:lblAlgn val="ctr"/>
        <c:lblOffset val="100"/>
        <c:noMultiLvlLbl val="0"/>
      </c:catAx>
      <c:valAx>
        <c:axId val="191377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KP_N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ED1-4C28-8590-760797FD50B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D1-4C28-8590-760797FD50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'!$I$49:$I$53</c:f>
              <c:numCache>
                <c:formatCode>General</c:formatCode>
                <c:ptCount val="5"/>
                <c:pt idx="0">
                  <c:v>301.05</c:v>
                </c:pt>
                <c:pt idx="1">
                  <c:v>396.30000000000007</c:v>
                </c:pt>
                <c:pt idx="2">
                  <c:v>183.3</c:v>
                </c:pt>
                <c:pt idx="3">
                  <c:v>213.5</c:v>
                </c:pt>
                <c:pt idx="4">
                  <c:v>342.4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1-4C28-8590-760797FD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521999"/>
        <c:axId val="2052524879"/>
      </c:barChart>
      <c:catAx>
        <c:axId val="20525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24879"/>
        <c:crosses val="autoZero"/>
        <c:auto val="1"/>
        <c:lblAlgn val="ctr"/>
        <c:lblOffset val="100"/>
        <c:noMultiLvlLbl val="0"/>
      </c:catAx>
      <c:valAx>
        <c:axId val="20525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V_THP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FC-4F3E-8FBE-59EE042E2CF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AFC-4F3E-8FBE-59EE042E2C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'20u'!$I$1:$I$5</c:f>
              <c:numCache>
                <c:formatCode>General</c:formatCode>
                <c:ptCount val="5"/>
                <c:pt idx="0">
                  <c:v>0.49430000000000002</c:v>
                </c:pt>
                <c:pt idx="1">
                  <c:v>0.58830000000000005</c:v>
                </c:pt>
                <c:pt idx="2">
                  <c:v>0.45760000000000001</c:v>
                </c:pt>
                <c:pt idx="3">
                  <c:v>0.39839999999999998</c:v>
                </c:pt>
                <c:pt idx="4">
                  <c:v>0.54910000000000003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C-4F3E-8FBE-59EE042E2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801183"/>
        <c:axId val="1913810783"/>
      </c:barChart>
      <c:catAx>
        <c:axId val="19138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810783"/>
        <c:crosses val="autoZero"/>
        <c:auto val="1"/>
        <c:lblAlgn val="ctr"/>
        <c:lblOffset val="100"/>
        <c:noMultiLvlLbl val="0"/>
      </c:catAx>
      <c:valAx>
        <c:axId val="19138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801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V_THN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54-41CA-8A4F-F41B5B06BF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54-41CA-8A4F-F41B5B06BF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'20u'!$J$1:$J$5</c:f>
              <c:numCache>
                <c:formatCode>General</c:formatCode>
                <c:ptCount val="5"/>
                <c:pt idx="0">
                  <c:v>0.3856</c:v>
                </c:pt>
                <c:pt idx="1">
                  <c:v>0.43269999999999997</c:v>
                </c:pt>
                <c:pt idx="2">
                  <c:v>0.34720000000000001</c:v>
                </c:pt>
                <c:pt idx="3">
                  <c:v>0.29370000000000002</c:v>
                </c:pt>
                <c:pt idx="4">
                  <c:v>0.43919999999999998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4-41CA-8A4F-F41B5B06B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65663"/>
        <c:axId val="1913760383"/>
      </c:barChart>
      <c:catAx>
        <c:axId val="191376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60383"/>
        <c:crosses val="autoZero"/>
        <c:auto val="1"/>
        <c:lblAlgn val="ctr"/>
        <c:lblOffset val="100"/>
        <c:noMultiLvlLbl val="0"/>
      </c:catAx>
      <c:valAx>
        <c:axId val="191376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6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KP_P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A1-4B4D-8C48-6EE0765F61F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EA1-4B4D-8C48-6EE0765F61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'20u'!$I$7:$I$11</c:f>
              <c:numCache>
                <c:formatCode>General</c:formatCode>
                <c:ptCount val="5"/>
                <c:pt idx="0">
                  <c:v>66.55</c:v>
                </c:pt>
                <c:pt idx="1">
                  <c:v>79.7</c:v>
                </c:pt>
                <c:pt idx="2">
                  <c:v>49.5</c:v>
                </c:pt>
                <c:pt idx="3">
                  <c:v>57.274999999999999</c:v>
                </c:pt>
                <c:pt idx="4">
                  <c:v>57.274999999999999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1-4B4D-8C48-6EE0765F6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86783"/>
        <c:axId val="1913773823"/>
      </c:barChart>
      <c:catAx>
        <c:axId val="191378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73823"/>
        <c:crosses val="autoZero"/>
        <c:auto val="1"/>
        <c:lblAlgn val="ctr"/>
        <c:lblOffset val="100"/>
        <c:noMultiLvlLbl val="0"/>
      </c:catAx>
      <c:valAx>
        <c:axId val="19137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8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KP_N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7B-4FFE-8597-A4CFEAFD3785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7B-4FFE-8597-A4CFEAFD37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'20u'!$J$7:$J$11</c:f>
              <c:numCache>
                <c:formatCode>General</c:formatCode>
                <c:ptCount val="5"/>
                <c:pt idx="0">
                  <c:v>301.39999999999998</c:v>
                </c:pt>
                <c:pt idx="1">
                  <c:v>396.99999999999994</c:v>
                </c:pt>
                <c:pt idx="2">
                  <c:v>183.15</c:v>
                </c:pt>
                <c:pt idx="3">
                  <c:v>213.4</c:v>
                </c:pt>
                <c:pt idx="4">
                  <c:v>342.9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B-4FFE-8597-A4CFEAFD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60863"/>
        <c:axId val="1913772383"/>
      </c:barChart>
      <c:catAx>
        <c:axId val="191376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72383"/>
        <c:crosses val="autoZero"/>
        <c:auto val="1"/>
        <c:lblAlgn val="ctr"/>
        <c:lblOffset val="100"/>
        <c:noMultiLvlLbl val="0"/>
      </c:catAx>
      <c:valAx>
        <c:axId val="19137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60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5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35B5FD11-CD4B-4E6B-8D43-CF766323ECEF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35B5FD11-CD4B-4E6B-8D43-CF766323ECEF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6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字方塊 2">
              <a:extLst>
                <a:ext uri="{FF2B5EF4-FFF2-40B4-BE49-F238E27FC236}">
                  <a16:creationId xmlns:a16="http://schemas.microsoft.com/office/drawing/2014/main" id="{E8FFF0CC-98E5-4D27-B80B-B6E5332128A3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" name="文字方塊 2">
              <a:extLst>
                <a:ext uri="{FF2B5EF4-FFF2-40B4-BE49-F238E27FC236}">
                  <a16:creationId xmlns:a16="http://schemas.microsoft.com/office/drawing/2014/main" id="{E8FFF0CC-98E5-4D27-B80B-B6E5332128A3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7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CC56F187-FCC5-4A23-A9DD-F2D666B1951B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CC56F187-FCC5-4A23-A9DD-F2D666B1951B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8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字方塊 4">
              <a:extLst>
                <a:ext uri="{FF2B5EF4-FFF2-40B4-BE49-F238E27FC236}">
                  <a16:creationId xmlns:a16="http://schemas.microsoft.com/office/drawing/2014/main" id="{29A4576B-4F76-436D-8C54-EF1019B94298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" name="文字方塊 4">
              <a:extLst>
                <a:ext uri="{FF2B5EF4-FFF2-40B4-BE49-F238E27FC236}">
                  <a16:creationId xmlns:a16="http://schemas.microsoft.com/office/drawing/2014/main" id="{29A4576B-4F76-436D-8C54-EF1019B94298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9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字方塊 5">
              <a:extLst>
                <a:ext uri="{FF2B5EF4-FFF2-40B4-BE49-F238E27FC236}">
                  <a16:creationId xmlns:a16="http://schemas.microsoft.com/office/drawing/2014/main" id="{E72DAF64-D2C8-48B9-A62D-D0D6750356CC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6" name="文字方塊 5">
              <a:extLst>
                <a:ext uri="{FF2B5EF4-FFF2-40B4-BE49-F238E27FC236}">
                  <a16:creationId xmlns:a16="http://schemas.microsoft.com/office/drawing/2014/main" id="{E72DAF64-D2C8-48B9-A62D-D0D6750356CC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10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字方塊 6">
              <a:extLst>
                <a:ext uri="{FF2B5EF4-FFF2-40B4-BE49-F238E27FC236}">
                  <a16:creationId xmlns:a16="http://schemas.microsoft.com/office/drawing/2014/main" id="{D181EF1D-3025-410C-89C6-A83F9A5996B8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7" name="文字方塊 6">
              <a:extLst>
                <a:ext uri="{FF2B5EF4-FFF2-40B4-BE49-F238E27FC236}">
                  <a16:creationId xmlns:a16="http://schemas.microsoft.com/office/drawing/2014/main" id="{D181EF1D-3025-410C-89C6-A83F9A5996B8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17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字方塊 7">
              <a:extLst>
                <a:ext uri="{FF2B5EF4-FFF2-40B4-BE49-F238E27FC236}">
                  <a16:creationId xmlns:a16="http://schemas.microsoft.com/office/drawing/2014/main" id="{FA6FBCD4-ECFE-4837-8739-21189AEA60CC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8" name="文字方塊 7">
              <a:extLst>
                <a:ext uri="{FF2B5EF4-FFF2-40B4-BE49-F238E27FC236}">
                  <a16:creationId xmlns:a16="http://schemas.microsoft.com/office/drawing/2014/main" id="{FA6FBCD4-ECFE-4837-8739-21189AEA60CC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18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文字方塊 8">
              <a:extLst>
                <a:ext uri="{FF2B5EF4-FFF2-40B4-BE49-F238E27FC236}">
                  <a16:creationId xmlns:a16="http://schemas.microsoft.com/office/drawing/2014/main" id="{B90B2A09-468E-4B87-9EA2-C5575D00DFB1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9" name="文字方塊 8">
              <a:extLst>
                <a:ext uri="{FF2B5EF4-FFF2-40B4-BE49-F238E27FC236}">
                  <a16:creationId xmlns:a16="http://schemas.microsoft.com/office/drawing/2014/main" id="{B90B2A09-468E-4B87-9EA2-C5575D00DFB1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19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字方塊 9">
              <a:extLst>
                <a:ext uri="{FF2B5EF4-FFF2-40B4-BE49-F238E27FC236}">
                  <a16:creationId xmlns:a16="http://schemas.microsoft.com/office/drawing/2014/main" id="{F1CBAE56-1069-4B17-A312-BE5F98EBA939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0" name="文字方塊 9">
              <a:extLst>
                <a:ext uri="{FF2B5EF4-FFF2-40B4-BE49-F238E27FC236}">
                  <a16:creationId xmlns:a16="http://schemas.microsoft.com/office/drawing/2014/main" id="{F1CBAE56-1069-4B17-A312-BE5F98EBA939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20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文字方塊 10">
              <a:extLst>
                <a:ext uri="{FF2B5EF4-FFF2-40B4-BE49-F238E27FC236}">
                  <a16:creationId xmlns:a16="http://schemas.microsoft.com/office/drawing/2014/main" id="{EC77C98E-10FA-4D02-9C7C-5C83F1E63276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1" name="文字方塊 10">
              <a:extLst>
                <a:ext uri="{FF2B5EF4-FFF2-40B4-BE49-F238E27FC236}">
                  <a16:creationId xmlns:a16="http://schemas.microsoft.com/office/drawing/2014/main" id="{EC77C98E-10FA-4D02-9C7C-5C83F1E63276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21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文字方塊 11">
              <a:extLst>
                <a:ext uri="{FF2B5EF4-FFF2-40B4-BE49-F238E27FC236}">
                  <a16:creationId xmlns:a16="http://schemas.microsoft.com/office/drawing/2014/main" id="{C63E712E-03FF-4397-993E-BCED254475A6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2" name="文字方塊 11">
              <a:extLst>
                <a:ext uri="{FF2B5EF4-FFF2-40B4-BE49-F238E27FC236}">
                  <a16:creationId xmlns:a16="http://schemas.microsoft.com/office/drawing/2014/main" id="{C63E712E-03FF-4397-993E-BCED254475A6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22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文字方塊 12">
              <a:extLst>
                <a:ext uri="{FF2B5EF4-FFF2-40B4-BE49-F238E27FC236}">
                  <a16:creationId xmlns:a16="http://schemas.microsoft.com/office/drawing/2014/main" id="{CC9E2D45-85B5-4385-BA4B-5DB6A78F91A1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3" name="文字方塊 12">
              <a:extLst>
                <a:ext uri="{FF2B5EF4-FFF2-40B4-BE49-F238E27FC236}">
                  <a16:creationId xmlns:a16="http://schemas.microsoft.com/office/drawing/2014/main" id="{CC9E2D45-85B5-4385-BA4B-5DB6A78F91A1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29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文字方塊 13">
              <a:extLst>
                <a:ext uri="{FF2B5EF4-FFF2-40B4-BE49-F238E27FC236}">
                  <a16:creationId xmlns:a16="http://schemas.microsoft.com/office/drawing/2014/main" id="{D359A597-61B4-421A-872A-C7C8278C6702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4" name="文字方塊 13">
              <a:extLst>
                <a:ext uri="{FF2B5EF4-FFF2-40B4-BE49-F238E27FC236}">
                  <a16:creationId xmlns:a16="http://schemas.microsoft.com/office/drawing/2014/main" id="{D359A597-61B4-421A-872A-C7C8278C6702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30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字方塊 14">
              <a:extLst>
                <a:ext uri="{FF2B5EF4-FFF2-40B4-BE49-F238E27FC236}">
                  <a16:creationId xmlns:a16="http://schemas.microsoft.com/office/drawing/2014/main" id="{79794FB7-FAFF-4343-8F73-90B1A27B68E2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5" name="文字方塊 14">
              <a:extLst>
                <a:ext uri="{FF2B5EF4-FFF2-40B4-BE49-F238E27FC236}">
                  <a16:creationId xmlns:a16="http://schemas.microsoft.com/office/drawing/2014/main" id="{79794FB7-FAFF-4343-8F73-90B1A27B68E2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31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文字方塊 15">
              <a:extLst>
                <a:ext uri="{FF2B5EF4-FFF2-40B4-BE49-F238E27FC236}">
                  <a16:creationId xmlns:a16="http://schemas.microsoft.com/office/drawing/2014/main" id="{080C2B63-01C9-47A0-AD50-340A6B2BA663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6" name="文字方塊 15">
              <a:extLst>
                <a:ext uri="{FF2B5EF4-FFF2-40B4-BE49-F238E27FC236}">
                  <a16:creationId xmlns:a16="http://schemas.microsoft.com/office/drawing/2014/main" id="{080C2B63-01C9-47A0-AD50-340A6B2BA663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32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文字方塊 16">
              <a:extLst>
                <a:ext uri="{FF2B5EF4-FFF2-40B4-BE49-F238E27FC236}">
                  <a16:creationId xmlns:a16="http://schemas.microsoft.com/office/drawing/2014/main" id="{A899963D-D54D-4347-BD6F-5F3D2BD90278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7" name="文字方塊 16">
              <a:extLst>
                <a:ext uri="{FF2B5EF4-FFF2-40B4-BE49-F238E27FC236}">
                  <a16:creationId xmlns:a16="http://schemas.microsoft.com/office/drawing/2014/main" id="{A899963D-D54D-4347-BD6F-5F3D2BD90278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33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文字方塊 17">
              <a:extLst>
                <a:ext uri="{FF2B5EF4-FFF2-40B4-BE49-F238E27FC236}">
                  <a16:creationId xmlns:a16="http://schemas.microsoft.com/office/drawing/2014/main" id="{B7CCBCCB-8FAC-43B9-A60D-B20124260171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8" name="文字方塊 17">
              <a:extLst>
                <a:ext uri="{FF2B5EF4-FFF2-40B4-BE49-F238E27FC236}">
                  <a16:creationId xmlns:a16="http://schemas.microsoft.com/office/drawing/2014/main" id="{B7CCBCCB-8FAC-43B9-A60D-B20124260171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34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文字方塊 18">
              <a:extLst>
                <a:ext uri="{FF2B5EF4-FFF2-40B4-BE49-F238E27FC236}">
                  <a16:creationId xmlns:a16="http://schemas.microsoft.com/office/drawing/2014/main" id="{BA86D0F7-776C-487A-B999-EADD7F5AE144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9" name="文字方塊 18">
              <a:extLst>
                <a:ext uri="{FF2B5EF4-FFF2-40B4-BE49-F238E27FC236}">
                  <a16:creationId xmlns:a16="http://schemas.microsoft.com/office/drawing/2014/main" id="{BA86D0F7-776C-487A-B999-EADD7F5AE144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41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D5112C51-D6AD-44D9-8FAA-8D92D7A6B7E3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D5112C51-D6AD-44D9-8FAA-8D92D7A6B7E3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42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F78CB66B-D6DC-49EF-8FB6-32FE40868CDD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F78CB66B-D6DC-49EF-8FB6-32FE40868CDD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43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2D986762-8B7F-4907-B3CF-FAE0F39E11CD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2D986762-8B7F-4907-B3CF-FAE0F39E11CD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44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D6D26750-E33B-423D-BB22-AD07B6435287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D6D26750-E33B-423D-BB22-AD07B6435287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45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C29A8B45-D228-4941-BEAF-5C63128FAF3F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C29A8B45-D228-4941-BEAF-5C63128FAF3F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46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1C4A559-6566-4FF2-833B-8A237DDAE70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1C4A559-6566-4FF2-833B-8A237DDAE70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53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文字方塊 25">
              <a:extLst>
                <a:ext uri="{FF2B5EF4-FFF2-40B4-BE49-F238E27FC236}">
                  <a16:creationId xmlns:a16="http://schemas.microsoft.com/office/drawing/2014/main" id="{57E2F78B-52AF-4ABB-A8DC-D01CD376B99E}"/>
                </a:ext>
              </a:extLst>
            </xdr:cNvPr>
            <xdr:cNvSpPr txBox="1"/>
          </xdr:nvSpPr>
          <xdr:spPr>
            <a:xfrm>
              <a:off x="50800" y="97599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6" name="文字方塊 25">
              <a:extLst>
                <a:ext uri="{FF2B5EF4-FFF2-40B4-BE49-F238E27FC236}">
                  <a16:creationId xmlns:a16="http://schemas.microsoft.com/office/drawing/2014/main" id="{57E2F78B-52AF-4ABB-A8DC-D01CD376B99E}"/>
                </a:ext>
              </a:extLst>
            </xdr:cNvPr>
            <xdr:cNvSpPr txBox="1"/>
          </xdr:nvSpPr>
          <xdr:spPr>
            <a:xfrm>
              <a:off x="50800" y="97599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54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文字方塊 26">
              <a:extLst>
                <a:ext uri="{FF2B5EF4-FFF2-40B4-BE49-F238E27FC236}">
                  <a16:creationId xmlns:a16="http://schemas.microsoft.com/office/drawing/2014/main" id="{802BEBEF-EEC4-48B4-9A2F-90593543EF2E}"/>
                </a:ext>
              </a:extLst>
            </xdr:cNvPr>
            <xdr:cNvSpPr txBox="1"/>
          </xdr:nvSpPr>
          <xdr:spPr>
            <a:xfrm>
              <a:off x="44450" y="99568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7" name="文字方塊 26">
              <a:extLst>
                <a:ext uri="{FF2B5EF4-FFF2-40B4-BE49-F238E27FC236}">
                  <a16:creationId xmlns:a16="http://schemas.microsoft.com/office/drawing/2014/main" id="{802BEBEF-EEC4-48B4-9A2F-90593543EF2E}"/>
                </a:ext>
              </a:extLst>
            </xdr:cNvPr>
            <xdr:cNvSpPr txBox="1"/>
          </xdr:nvSpPr>
          <xdr:spPr>
            <a:xfrm>
              <a:off x="44450" y="99568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55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文字方塊 27">
              <a:extLst>
                <a:ext uri="{FF2B5EF4-FFF2-40B4-BE49-F238E27FC236}">
                  <a16:creationId xmlns:a16="http://schemas.microsoft.com/office/drawing/2014/main" id="{65CB7A11-E8D1-4F82-B0A4-F2B90A3422D8}"/>
                </a:ext>
              </a:extLst>
            </xdr:cNvPr>
            <xdr:cNvSpPr txBox="1"/>
          </xdr:nvSpPr>
          <xdr:spPr>
            <a:xfrm>
              <a:off x="50800" y="101409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8" name="文字方塊 27">
              <a:extLst>
                <a:ext uri="{FF2B5EF4-FFF2-40B4-BE49-F238E27FC236}">
                  <a16:creationId xmlns:a16="http://schemas.microsoft.com/office/drawing/2014/main" id="{65CB7A11-E8D1-4F82-B0A4-F2B90A3422D8}"/>
                </a:ext>
              </a:extLst>
            </xdr:cNvPr>
            <xdr:cNvSpPr txBox="1"/>
          </xdr:nvSpPr>
          <xdr:spPr>
            <a:xfrm>
              <a:off x="50800" y="101409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56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文字方塊 28">
              <a:extLst>
                <a:ext uri="{FF2B5EF4-FFF2-40B4-BE49-F238E27FC236}">
                  <a16:creationId xmlns:a16="http://schemas.microsoft.com/office/drawing/2014/main" id="{4A76A72B-E863-4497-8557-A8303C8C4D3F}"/>
                </a:ext>
              </a:extLst>
            </xdr:cNvPr>
            <xdr:cNvSpPr txBox="1"/>
          </xdr:nvSpPr>
          <xdr:spPr>
            <a:xfrm>
              <a:off x="38100" y="103251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9" name="文字方塊 28">
              <a:extLst>
                <a:ext uri="{FF2B5EF4-FFF2-40B4-BE49-F238E27FC236}">
                  <a16:creationId xmlns:a16="http://schemas.microsoft.com/office/drawing/2014/main" id="{4A76A72B-E863-4497-8557-A8303C8C4D3F}"/>
                </a:ext>
              </a:extLst>
            </xdr:cNvPr>
            <xdr:cNvSpPr txBox="1"/>
          </xdr:nvSpPr>
          <xdr:spPr>
            <a:xfrm>
              <a:off x="38100" y="103251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57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文字方塊 29">
              <a:extLst>
                <a:ext uri="{FF2B5EF4-FFF2-40B4-BE49-F238E27FC236}">
                  <a16:creationId xmlns:a16="http://schemas.microsoft.com/office/drawing/2014/main" id="{E9EBE3E9-8E7B-47CF-AB80-EE111A6FF631}"/>
                </a:ext>
              </a:extLst>
            </xdr:cNvPr>
            <xdr:cNvSpPr txBox="1"/>
          </xdr:nvSpPr>
          <xdr:spPr>
            <a:xfrm>
              <a:off x="31750" y="104965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0" name="文字方塊 29">
              <a:extLst>
                <a:ext uri="{FF2B5EF4-FFF2-40B4-BE49-F238E27FC236}">
                  <a16:creationId xmlns:a16="http://schemas.microsoft.com/office/drawing/2014/main" id="{E9EBE3E9-8E7B-47CF-AB80-EE111A6FF631}"/>
                </a:ext>
              </a:extLst>
            </xdr:cNvPr>
            <xdr:cNvSpPr txBox="1"/>
          </xdr:nvSpPr>
          <xdr:spPr>
            <a:xfrm>
              <a:off x="31750" y="104965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58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文字方塊 30">
              <a:extLst>
                <a:ext uri="{FF2B5EF4-FFF2-40B4-BE49-F238E27FC236}">
                  <a16:creationId xmlns:a16="http://schemas.microsoft.com/office/drawing/2014/main" id="{18A7A983-7403-440E-80A2-0F905FF802B9}"/>
                </a:ext>
              </a:extLst>
            </xdr:cNvPr>
            <xdr:cNvSpPr txBox="1"/>
          </xdr:nvSpPr>
          <xdr:spPr>
            <a:xfrm>
              <a:off x="44450" y="106807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1" name="文字方塊 30">
              <a:extLst>
                <a:ext uri="{FF2B5EF4-FFF2-40B4-BE49-F238E27FC236}">
                  <a16:creationId xmlns:a16="http://schemas.microsoft.com/office/drawing/2014/main" id="{18A7A983-7403-440E-80A2-0F905FF802B9}"/>
                </a:ext>
              </a:extLst>
            </xdr:cNvPr>
            <xdr:cNvSpPr txBox="1"/>
          </xdr:nvSpPr>
          <xdr:spPr>
            <a:xfrm>
              <a:off x="44450" y="106807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twoCellAnchor>
    <xdr:from>
      <xdr:col>8</xdr:col>
      <xdr:colOff>9814</xdr:colOff>
      <xdr:row>0</xdr:row>
      <xdr:rowOff>50800</xdr:rowOff>
    </xdr:from>
    <xdr:to>
      <xdr:col>13</xdr:col>
      <xdr:colOff>339325</xdr:colOff>
      <xdr:row>8</xdr:row>
      <xdr:rowOff>182947</xdr:rowOff>
    </xdr:to>
    <xdr:graphicFrame macro="">
      <xdr:nvGraphicFramePr>
        <xdr:cNvPr id="36" name="圖表 35">
          <a:extLst>
            <a:ext uri="{FF2B5EF4-FFF2-40B4-BE49-F238E27FC236}">
              <a16:creationId xmlns:a16="http://schemas.microsoft.com/office/drawing/2014/main" id="{43FD6032-EF60-EF9D-7687-196BD4090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4618</xdr:colOff>
      <xdr:row>12</xdr:row>
      <xdr:rowOff>3299</xdr:rowOff>
    </xdr:from>
    <xdr:to>
      <xdr:col>13</xdr:col>
      <xdr:colOff>334129</xdr:colOff>
      <xdr:row>20</xdr:row>
      <xdr:rowOff>137038</xdr:rowOff>
    </xdr:to>
    <xdr:graphicFrame macro="">
      <xdr:nvGraphicFramePr>
        <xdr:cNvPr id="38" name="圖表 37">
          <a:extLst>
            <a:ext uri="{FF2B5EF4-FFF2-40B4-BE49-F238E27FC236}">
              <a16:creationId xmlns:a16="http://schemas.microsoft.com/office/drawing/2014/main" id="{9AA369AC-18E0-C8C7-93D4-882AEE4D3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15009</xdr:colOff>
      <xdr:row>23</xdr:row>
      <xdr:rowOff>159989</xdr:rowOff>
    </xdr:from>
    <xdr:to>
      <xdr:col>13</xdr:col>
      <xdr:colOff>344520</xdr:colOff>
      <xdr:row>32</xdr:row>
      <xdr:rowOff>109000</xdr:rowOff>
    </xdr:to>
    <xdr:graphicFrame macro="">
      <xdr:nvGraphicFramePr>
        <xdr:cNvPr id="39" name="圖表 38">
          <a:extLst>
            <a:ext uri="{FF2B5EF4-FFF2-40B4-BE49-F238E27FC236}">
              <a16:creationId xmlns:a16="http://schemas.microsoft.com/office/drawing/2014/main" id="{240C270E-4E4F-534E-568F-F0F39F825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25151</xdr:colOff>
      <xdr:row>35</xdr:row>
      <xdr:rowOff>178789</xdr:rowOff>
    </xdr:from>
    <xdr:to>
      <xdr:col>13</xdr:col>
      <xdr:colOff>334817</xdr:colOff>
      <xdr:row>44</xdr:row>
      <xdr:rowOff>150091</xdr:rowOff>
    </xdr:to>
    <xdr:graphicFrame macro="">
      <xdr:nvGraphicFramePr>
        <xdr:cNvPr id="40" name="圖表 39">
          <a:extLst>
            <a:ext uri="{FF2B5EF4-FFF2-40B4-BE49-F238E27FC236}">
              <a16:creationId xmlns:a16="http://schemas.microsoft.com/office/drawing/2014/main" id="{506BDC49-6DFA-2767-1867-1798E2957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5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CE464741-E500-4E0A-81A2-69C1A4ED21FD}"/>
                </a:ext>
              </a:extLst>
            </xdr:cNvPr>
            <xdr:cNvSpPr txBox="1"/>
          </xdr:nvSpPr>
          <xdr:spPr>
            <a:xfrm>
              <a:off x="50800" y="20256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CE464741-E500-4E0A-81A2-69C1A4ED21FD}"/>
                </a:ext>
              </a:extLst>
            </xdr:cNvPr>
            <xdr:cNvSpPr txBox="1"/>
          </xdr:nvSpPr>
          <xdr:spPr>
            <a:xfrm>
              <a:off x="50800" y="20256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6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EBDAFB8B-1A90-4FCC-8BE1-65BC3EB30F1C}"/>
                </a:ext>
              </a:extLst>
            </xdr:cNvPr>
            <xdr:cNvSpPr txBox="1"/>
          </xdr:nvSpPr>
          <xdr:spPr>
            <a:xfrm>
              <a:off x="44450" y="22225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EBDAFB8B-1A90-4FCC-8BE1-65BC3EB30F1C}"/>
                </a:ext>
              </a:extLst>
            </xdr:cNvPr>
            <xdr:cNvSpPr txBox="1"/>
          </xdr:nvSpPr>
          <xdr:spPr>
            <a:xfrm>
              <a:off x="44450" y="22225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7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CF398E89-A0BD-4D6F-8B57-F1DECC842BE9}"/>
                </a:ext>
              </a:extLst>
            </xdr:cNvPr>
            <xdr:cNvSpPr txBox="1"/>
          </xdr:nvSpPr>
          <xdr:spPr>
            <a:xfrm>
              <a:off x="50800" y="24066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CF398E89-A0BD-4D6F-8B57-F1DECC842BE9}"/>
                </a:ext>
              </a:extLst>
            </xdr:cNvPr>
            <xdr:cNvSpPr txBox="1"/>
          </xdr:nvSpPr>
          <xdr:spPr>
            <a:xfrm>
              <a:off x="50800" y="24066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8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CC4C41E6-C30A-4D66-BB06-5323FE02D778}"/>
                </a:ext>
              </a:extLst>
            </xdr:cNvPr>
            <xdr:cNvSpPr txBox="1"/>
          </xdr:nvSpPr>
          <xdr:spPr>
            <a:xfrm>
              <a:off x="38100" y="25908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CC4C41E6-C30A-4D66-BB06-5323FE02D778}"/>
                </a:ext>
              </a:extLst>
            </xdr:cNvPr>
            <xdr:cNvSpPr txBox="1"/>
          </xdr:nvSpPr>
          <xdr:spPr>
            <a:xfrm>
              <a:off x="38100" y="25908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9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20C66DBA-9B98-4B6C-A595-D203A6C69F05}"/>
                </a:ext>
              </a:extLst>
            </xdr:cNvPr>
            <xdr:cNvSpPr txBox="1"/>
          </xdr:nvSpPr>
          <xdr:spPr>
            <a:xfrm>
              <a:off x="31750" y="27622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20C66DBA-9B98-4B6C-A595-D203A6C69F05}"/>
                </a:ext>
              </a:extLst>
            </xdr:cNvPr>
            <xdr:cNvSpPr txBox="1"/>
          </xdr:nvSpPr>
          <xdr:spPr>
            <a:xfrm>
              <a:off x="31750" y="27622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10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60B30F3-9285-454E-82E8-9B92CB5705C7}"/>
                </a:ext>
              </a:extLst>
            </xdr:cNvPr>
            <xdr:cNvSpPr txBox="1"/>
          </xdr:nvSpPr>
          <xdr:spPr>
            <a:xfrm>
              <a:off x="44450" y="29464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60B30F3-9285-454E-82E8-9B92CB5705C7}"/>
                </a:ext>
              </a:extLst>
            </xdr:cNvPr>
            <xdr:cNvSpPr txBox="1"/>
          </xdr:nvSpPr>
          <xdr:spPr>
            <a:xfrm>
              <a:off x="44450" y="29464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17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文字方塊 31">
              <a:extLst>
                <a:ext uri="{FF2B5EF4-FFF2-40B4-BE49-F238E27FC236}">
                  <a16:creationId xmlns:a16="http://schemas.microsoft.com/office/drawing/2014/main" id="{D2E84A39-E5E3-42A9-BA90-1CE2AA378737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2" name="文字方塊 31">
              <a:extLst>
                <a:ext uri="{FF2B5EF4-FFF2-40B4-BE49-F238E27FC236}">
                  <a16:creationId xmlns:a16="http://schemas.microsoft.com/office/drawing/2014/main" id="{D2E84A39-E5E3-42A9-BA90-1CE2AA378737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18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文字方塊 32">
              <a:extLst>
                <a:ext uri="{FF2B5EF4-FFF2-40B4-BE49-F238E27FC236}">
                  <a16:creationId xmlns:a16="http://schemas.microsoft.com/office/drawing/2014/main" id="{C2995924-EB3C-4CD6-98E5-FB0A2241D3ED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3" name="文字方塊 32">
              <a:extLst>
                <a:ext uri="{FF2B5EF4-FFF2-40B4-BE49-F238E27FC236}">
                  <a16:creationId xmlns:a16="http://schemas.microsoft.com/office/drawing/2014/main" id="{C2995924-EB3C-4CD6-98E5-FB0A2241D3ED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19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文字方塊 33">
              <a:extLst>
                <a:ext uri="{FF2B5EF4-FFF2-40B4-BE49-F238E27FC236}">
                  <a16:creationId xmlns:a16="http://schemas.microsoft.com/office/drawing/2014/main" id="{8E0263EF-9559-4F76-AD0A-C51A5AE3C96E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4" name="文字方塊 33">
              <a:extLst>
                <a:ext uri="{FF2B5EF4-FFF2-40B4-BE49-F238E27FC236}">
                  <a16:creationId xmlns:a16="http://schemas.microsoft.com/office/drawing/2014/main" id="{8E0263EF-9559-4F76-AD0A-C51A5AE3C96E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20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文字方塊 34">
              <a:extLst>
                <a:ext uri="{FF2B5EF4-FFF2-40B4-BE49-F238E27FC236}">
                  <a16:creationId xmlns:a16="http://schemas.microsoft.com/office/drawing/2014/main" id="{88059C39-45BC-4334-A527-9B8CD622B680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5" name="文字方塊 34">
              <a:extLst>
                <a:ext uri="{FF2B5EF4-FFF2-40B4-BE49-F238E27FC236}">
                  <a16:creationId xmlns:a16="http://schemas.microsoft.com/office/drawing/2014/main" id="{88059C39-45BC-4334-A527-9B8CD622B680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21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文字方塊 35">
              <a:extLst>
                <a:ext uri="{FF2B5EF4-FFF2-40B4-BE49-F238E27FC236}">
                  <a16:creationId xmlns:a16="http://schemas.microsoft.com/office/drawing/2014/main" id="{CE0283E5-6827-4573-945A-89ED3FCF3320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6" name="文字方塊 35">
              <a:extLst>
                <a:ext uri="{FF2B5EF4-FFF2-40B4-BE49-F238E27FC236}">
                  <a16:creationId xmlns:a16="http://schemas.microsoft.com/office/drawing/2014/main" id="{CE0283E5-6827-4573-945A-89ED3FCF3320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22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文字方塊 36">
              <a:extLst>
                <a:ext uri="{FF2B5EF4-FFF2-40B4-BE49-F238E27FC236}">
                  <a16:creationId xmlns:a16="http://schemas.microsoft.com/office/drawing/2014/main" id="{78742388-7FDB-4421-969A-C5A3186D4E27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7" name="文字方塊 36">
              <a:extLst>
                <a:ext uri="{FF2B5EF4-FFF2-40B4-BE49-F238E27FC236}">
                  <a16:creationId xmlns:a16="http://schemas.microsoft.com/office/drawing/2014/main" id="{78742388-7FDB-4421-969A-C5A3186D4E27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29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文字方塊 37">
              <a:extLst>
                <a:ext uri="{FF2B5EF4-FFF2-40B4-BE49-F238E27FC236}">
                  <a16:creationId xmlns:a16="http://schemas.microsoft.com/office/drawing/2014/main" id="{889F971F-E6F5-4760-8EBC-E94E42F50122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8" name="文字方塊 37">
              <a:extLst>
                <a:ext uri="{FF2B5EF4-FFF2-40B4-BE49-F238E27FC236}">
                  <a16:creationId xmlns:a16="http://schemas.microsoft.com/office/drawing/2014/main" id="{889F971F-E6F5-4760-8EBC-E94E42F50122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30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文字方塊 38">
              <a:extLst>
                <a:ext uri="{FF2B5EF4-FFF2-40B4-BE49-F238E27FC236}">
                  <a16:creationId xmlns:a16="http://schemas.microsoft.com/office/drawing/2014/main" id="{E35AEE35-954D-4F5B-A039-F0C14C18CF4D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9" name="文字方塊 38">
              <a:extLst>
                <a:ext uri="{FF2B5EF4-FFF2-40B4-BE49-F238E27FC236}">
                  <a16:creationId xmlns:a16="http://schemas.microsoft.com/office/drawing/2014/main" id="{E35AEE35-954D-4F5B-A039-F0C14C18CF4D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31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文字方塊 39">
              <a:extLst>
                <a:ext uri="{FF2B5EF4-FFF2-40B4-BE49-F238E27FC236}">
                  <a16:creationId xmlns:a16="http://schemas.microsoft.com/office/drawing/2014/main" id="{109FCC2A-5A90-4CDD-AB8A-A29629103F4A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0" name="文字方塊 39">
              <a:extLst>
                <a:ext uri="{FF2B5EF4-FFF2-40B4-BE49-F238E27FC236}">
                  <a16:creationId xmlns:a16="http://schemas.microsoft.com/office/drawing/2014/main" id="{109FCC2A-5A90-4CDD-AB8A-A29629103F4A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32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文字方塊 40">
              <a:extLst>
                <a:ext uri="{FF2B5EF4-FFF2-40B4-BE49-F238E27FC236}">
                  <a16:creationId xmlns:a16="http://schemas.microsoft.com/office/drawing/2014/main" id="{1EC6014E-1E22-40FE-AB70-58FE9E67FB31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1" name="文字方塊 40">
              <a:extLst>
                <a:ext uri="{FF2B5EF4-FFF2-40B4-BE49-F238E27FC236}">
                  <a16:creationId xmlns:a16="http://schemas.microsoft.com/office/drawing/2014/main" id="{1EC6014E-1E22-40FE-AB70-58FE9E67FB31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33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文字方塊 41">
              <a:extLst>
                <a:ext uri="{FF2B5EF4-FFF2-40B4-BE49-F238E27FC236}">
                  <a16:creationId xmlns:a16="http://schemas.microsoft.com/office/drawing/2014/main" id="{02E20C21-02FB-4452-B944-9A6F7118D34C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2" name="文字方塊 41">
              <a:extLst>
                <a:ext uri="{FF2B5EF4-FFF2-40B4-BE49-F238E27FC236}">
                  <a16:creationId xmlns:a16="http://schemas.microsoft.com/office/drawing/2014/main" id="{02E20C21-02FB-4452-B944-9A6F7118D34C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34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文字方塊 42">
              <a:extLst>
                <a:ext uri="{FF2B5EF4-FFF2-40B4-BE49-F238E27FC236}">
                  <a16:creationId xmlns:a16="http://schemas.microsoft.com/office/drawing/2014/main" id="{230A666F-4E67-4C71-B132-E676074D7E7C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3" name="文字方塊 42">
              <a:extLst>
                <a:ext uri="{FF2B5EF4-FFF2-40B4-BE49-F238E27FC236}">
                  <a16:creationId xmlns:a16="http://schemas.microsoft.com/office/drawing/2014/main" id="{230A666F-4E67-4C71-B132-E676074D7E7C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41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文字方塊 43">
              <a:extLst>
                <a:ext uri="{FF2B5EF4-FFF2-40B4-BE49-F238E27FC236}">
                  <a16:creationId xmlns:a16="http://schemas.microsoft.com/office/drawing/2014/main" id="{B8305EF8-4A70-4DAD-B9AA-B5428318452A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4" name="文字方塊 43">
              <a:extLst>
                <a:ext uri="{FF2B5EF4-FFF2-40B4-BE49-F238E27FC236}">
                  <a16:creationId xmlns:a16="http://schemas.microsoft.com/office/drawing/2014/main" id="{B8305EF8-4A70-4DAD-B9AA-B5428318452A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42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文字方塊 44">
              <a:extLst>
                <a:ext uri="{FF2B5EF4-FFF2-40B4-BE49-F238E27FC236}">
                  <a16:creationId xmlns:a16="http://schemas.microsoft.com/office/drawing/2014/main" id="{578AF2D5-116C-407E-9BB4-CEDE761A24F1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5" name="文字方塊 44">
              <a:extLst>
                <a:ext uri="{FF2B5EF4-FFF2-40B4-BE49-F238E27FC236}">
                  <a16:creationId xmlns:a16="http://schemas.microsoft.com/office/drawing/2014/main" id="{578AF2D5-116C-407E-9BB4-CEDE761A24F1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43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文字方塊 45">
              <a:extLst>
                <a:ext uri="{FF2B5EF4-FFF2-40B4-BE49-F238E27FC236}">
                  <a16:creationId xmlns:a16="http://schemas.microsoft.com/office/drawing/2014/main" id="{3A330295-4079-4DD0-A39C-AFAC989D50A8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6" name="文字方塊 45">
              <a:extLst>
                <a:ext uri="{FF2B5EF4-FFF2-40B4-BE49-F238E27FC236}">
                  <a16:creationId xmlns:a16="http://schemas.microsoft.com/office/drawing/2014/main" id="{3A330295-4079-4DD0-A39C-AFAC989D50A8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44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文字方塊 46">
              <a:extLst>
                <a:ext uri="{FF2B5EF4-FFF2-40B4-BE49-F238E27FC236}">
                  <a16:creationId xmlns:a16="http://schemas.microsoft.com/office/drawing/2014/main" id="{E62288DE-0BED-4DFD-AD35-797213105766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7" name="文字方塊 46">
              <a:extLst>
                <a:ext uri="{FF2B5EF4-FFF2-40B4-BE49-F238E27FC236}">
                  <a16:creationId xmlns:a16="http://schemas.microsoft.com/office/drawing/2014/main" id="{E62288DE-0BED-4DFD-AD35-797213105766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45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文字方塊 47">
              <a:extLst>
                <a:ext uri="{FF2B5EF4-FFF2-40B4-BE49-F238E27FC236}">
                  <a16:creationId xmlns:a16="http://schemas.microsoft.com/office/drawing/2014/main" id="{40035E7B-0597-49A0-AFDC-BED7A3E683E8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8" name="文字方塊 47">
              <a:extLst>
                <a:ext uri="{FF2B5EF4-FFF2-40B4-BE49-F238E27FC236}">
                  <a16:creationId xmlns:a16="http://schemas.microsoft.com/office/drawing/2014/main" id="{40035E7B-0597-49A0-AFDC-BED7A3E683E8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46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文字方塊 48">
              <a:extLst>
                <a:ext uri="{FF2B5EF4-FFF2-40B4-BE49-F238E27FC236}">
                  <a16:creationId xmlns:a16="http://schemas.microsoft.com/office/drawing/2014/main" id="{ABA053D4-57FD-4C78-ADF6-032A8D54C845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9" name="文字方塊 48">
              <a:extLst>
                <a:ext uri="{FF2B5EF4-FFF2-40B4-BE49-F238E27FC236}">
                  <a16:creationId xmlns:a16="http://schemas.microsoft.com/office/drawing/2014/main" id="{ABA053D4-57FD-4C78-ADF6-032A8D54C845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53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文字方塊 49">
              <a:extLst>
                <a:ext uri="{FF2B5EF4-FFF2-40B4-BE49-F238E27FC236}">
                  <a16:creationId xmlns:a16="http://schemas.microsoft.com/office/drawing/2014/main" id="{871E1B75-1569-464E-B633-C40185D91957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0" name="文字方塊 49">
              <a:extLst>
                <a:ext uri="{FF2B5EF4-FFF2-40B4-BE49-F238E27FC236}">
                  <a16:creationId xmlns:a16="http://schemas.microsoft.com/office/drawing/2014/main" id="{871E1B75-1569-464E-B633-C40185D91957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54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文字方塊 50">
              <a:extLst>
                <a:ext uri="{FF2B5EF4-FFF2-40B4-BE49-F238E27FC236}">
                  <a16:creationId xmlns:a16="http://schemas.microsoft.com/office/drawing/2014/main" id="{00CCC7F6-7C64-4189-B817-3C1D145FEB8C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1" name="文字方塊 50">
              <a:extLst>
                <a:ext uri="{FF2B5EF4-FFF2-40B4-BE49-F238E27FC236}">
                  <a16:creationId xmlns:a16="http://schemas.microsoft.com/office/drawing/2014/main" id="{00CCC7F6-7C64-4189-B817-3C1D145FEB8C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55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文字方塊 51">
              <a:extLst>
                <a:ext uri="{FF2B5EF4-FFF2-40B4-BE49-F238E27FC236}">
                  <a16:creationId xmlns:a16="http://schemas.microsoft.com/office/drawing/2014/main" id="{3E07FACD-5912-47F2-98DE-77C98C8AF9B8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2" name="文字方塊 51">
              <a:extLst>
                <a:ext uri="{FF2B5EF4-FFF2-40B4-BE49-F238E27FC236}">
                  <a16:creationId xmlns:a16="http://schemas.microsoft.com/office/drawing/2014/main" id="{3E07FACD-5912-47F2-98DE-77C98C8AF9B8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56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文字方塊 52">
              <a:extLst>
                <a:ext uri="{FF2B5EF4-FFF2-40B4-BE49-F238E27FC236}">
                  <a16:creationId xmlns:a16="http://schemas.microsoft.com/office/drawing/2014/main" id="{3102DE28-8D41-47A4-963F-E350A4A25E63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3" name="文字方塊 52">
              <a:extLst>
                <a:ext uri="{FF2B5EF4-FFF2-40B4-BE49-F238E27FC236}">
                  <a16:creationId xmlns:a16="http://schemas.microsoft.com/office/drawing/2014/main" id="{3102DE28-8D41-47A4-963F-E350A4A25E63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57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文字方塊 53">
              <a:extLst>
                <a:ext uri="{FF2B5EF4-FFF2-40B4-BE49-F238E27FC236}">
                  <a16:creationId xmlns:a16="http://schemas.microsoft.com/office/drawing/2014/main" id="{80D76A8E-4C7B-467C-9C6B-CCE5B3E02618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4" name="文字方塊 53">
              <a:extLst>
                <a:ext uri="{FF2B5EF4-FFF2-40B4-BE49-F238E27FC236}">
                  <a16:creationId xmlns:a16="http://schemas.microsoft.com/office/drawing/2014/main" id="{80D76A8E-4C7B-467C-9C6B-CCE5B3E02618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58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文字方塊 54">
              <a:extLst>
                <a:ext uri="{FF2B5EF4-FFF2-40B4-BE49-F238E27FC236}">
                  <a16:creationId xmlns:a16="http://schemas.microsoft.com/office/drawing/2014/main" id="{098C9A07-54CE-4C8D-A07B-88A5DCBEAE7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5" name="文字方塊 54">
              <a:extLst>
                <a:ext uri="{FF2B5EF4-FFF2-40B4-BE49-F238E27FC236}">
                  <a16:creationId xmlns:a16="http://schemas.microsoft.com/office/drawing/2014/main" id="{098C9A07-54CE-4C8D-A07B-88A5DCBEAE7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twoCellAnchor>
    <xdr:from>
      <xdr:col>7</xdr:col>
      <xdr:colOff>421822</xdr:colOff>
      <xdr:row>0</xdr:row>
      <xdr:rowOff>134258</xdr:rowOff>
    </xdr:from>
    <xdr:to>
      <xdr:col>13</xdr:col>
      <xdr:colOff>190050</xdr:colOff>
      <xdr:row>9</xdr:row>
      <xdr:rowOff>85401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FA75F6A-B50D-05EC-58E8-3FC2B6484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430893</xdr:colOff>
      <xdr:row>10</xdr:row>
      <xdr:rowOff>116114</xdr:rowOff>
    </xdr:from>
    <xdr:to>
      <xdr:col>13</xdr:col>
      <xdr:colOff>199121</xdr:colOff>
      <xdr:row>19</xdr:row>
      <xdr:rowOff>67257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725BE18-17BD-32B5-504F-4205AA7CE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412751</xdr:colOff>
      <xdr:row>20</xdr:row>
      <xdr:rowOff>97973</xdr:rowOff>
    </xdr:from>
    <xdr:to>
      <xdr:col>13</xdr:col>
      <xdr:colOff>180979</xdr:colOff>
      <xdr:row>29</xdr:row>
      <xdr:rowOff>49115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7D485177-C823-7293-EFC4-480C9E444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430893</xdr:colOff>
      <xdr:row>30</xdr:row>
      <xdr:rowOff>88899</xdr:rowOff>
    </xdr:from>
    <xdr:to>
      <xdr:col>13</xdr:col>
      <xdr:colOff>199121</xdr:colOff>
      <xdr:row>39</xdr:row>
      <xdr:rowOff>40042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12537DE-A048-9D3B-32B4-00D391017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C11F-F5A2-4444-9564-0BAD0E098884}">
  <dimension ref="A1:I59"/>
  <sheetViews>
    <sheetView showGridLines="0" tabSelected="1" zoomScale="85" zoomScaleNormal="85" workbookViewId="0">
      <selection activeCell="O13" sqref="O13"/>
    </sheetView>
  </sheetViews>
  <sheetFormatPr defaultRowHeight="14.5" x14ac:dyDescent="0.3"/>
  <cols>
    <col min="1" max="1" width="30.796875" customWidth="1"/>
    <col min="2" max="7" width="10.69921875" customWidth="1"/>
  </cols>
  <sheetData>
    <row r="1" spans="1:9" x14ac:dyDescent="0.3">
      <c r="A1" s="9" t="s">
        <v>0</v>
      </c>
      <c r="B1" s="9"/>
      <c r="C1" s="10"/>
      <c r="E1" s="1" t="s">
        <v>17</v>
      </c>
      <c r="F1" s="1">
        <v>1.8</v>
      </c>
      <c r="G1" s="1">
        <v>1.8</v>
      </c>
      <c r="I1" s="13">
        <f>B6</f>
        <v>0.49430000000000002</v>
      </c>
    </row>
    <row r="2" spans="1:9" x14ac:dyDescent="0.3">
      <c r="A2" s="9" t="s">
        <v>4</v>
      </c>
      <c r="B2" s="9"/>
      <c r="C2" s="10"/>
      <c r="E2" s="1" t="s">
        <v>11</v>
      </c>
      <c r="F2" s="1">
        <v>40</v>
      </c>
      <c r="G2" s="1">
        <v>20</v>
      </c>
      <c r="I2" s="13">
        <f>B18</f>
        <v>0.49</v>
      </c>
    </row>
    <row r="3" spans="1:9" x14ac:dyDescent="0.3">
      <c r="A3" s="11" t="s">
        <v>6</v>
      </c>
      <c r="B3" s="11"/>
      <c r="C3" s="12"/>
      <c r="E3" s="1" t="s">
        <v>12</v>
      </c>
      <c r="F3" s="1">
        <v>1</v>
      </c>
      <c r="G3" s="1">
        <v>1</v>
      </c>
      <c r="I3" s="13">
        <f>B30</f>
        <v>0.45760000000000001</v>
      </c>
    </row>
    <row r="4" spans="1:9" x14ac:dyDescent="0.3">
      <c r="A4" s="1" t="s">
        <v>1</v>
      </c>
      <c r="B4" s="1" t="s">
        <v>3</v>
      </c>
      <c r="C4" s="1" t="s">
        <v>2</v>
      </c>
      <c r="I4" s="13">
        <f>B42</f>
        <v>0.39839999999999998</v>
      </c>
    </row>
    <row r="5" spans="1:9" x14ac:dyDescent="0.3">
      <c r="A5" s="2" t="s">
        <v>5</v>
      </c>
      <c r="B5" s="1" t="s">
        <v>7</v>
      </c>
      <c r="C5" s="1" t="s">
        <v>8</v>
      </c>
      <c r="I5" s="13">
        <f>B54</f>
        <v>0.54910000000000003</v>
      </c>
    </row>
    <row r="6" spans="1:9" x14ac:dyDescent="0.3">
      <c r="A6" s="1"/>
      <c r="B6" s="1">
        <f>-F6</f>
        <v>0.49430000000000002</v>
      </c>
      <c r="C6" s="1">
        <f>G6</f>
        <v>0.38579999999999998</v>
      </c>
      <c r="E6" s="1" t="s">
        <v>10</v>
      </c>
      <c r="F6" s="3">
        <v>-0.49430000000000002</v>
      </c>
      <c r="G6" s="3">
        <v>0.38579999999999998</v>
      </c>
      <c r="I6" s="13"/>
    </row>
    <row r="7" spans="1:9" x14ac:dyDescent="0.3">
      <c r="A7" s="1"/>
      <c r="B7" s="1">
        <f>F7*10^6/(F2/F3)</f>
        <v>67.275000000000006</v>
      </c>
      <c r="C7" s="1">
        <f>G7*10^6/(G2/G3)</f>
        <v>301.05</v>
      </c>
      <c r="E7" s="1" t="s">
        <v>9</v>
      </c>
      <c r="F7" s="3">
        <v>2.6909999999999998E-3</v>
      </c>
      <c r="G7" s="3">
        <v>6.0210000000000003E-3</v>
      </c>
      <c r="I7" s="13"/>
    </row>
    <row r="8" spans="1:9" x14ac:dyDescent="0.3">
      <c r="A8" s="1"/>
      <c r="B8" s="5">
        <f>-1/F9/F10</f>
        <v>57.469999999999985</v>
      </c>
      <c r="C8" s="6">
        <f>1/G9/G10</f>
        <v>233.09999999999997</v>
      </c>
      <c r="E8" s="1" t="s">
        <v>13</v>
      </c>
      <c r="F8" s="3">
        <v>5.7469999999999998E-7</v>
      </c>
      <c r="G8" s="3">
        <v>2.3309999999999998E-6</v>
      </c>
      <c r="I8" s="13"/>
    </row>
    <row r="9" spans="1:9" x14ac:dyDescent="0.3">
      <c r="A9" s="1"/>
      <c r="B9" s="1">
        <f>F11/F2/F3*10^15</f>
        <v>6.0649999999999995</v>
      </c>
      <c r="C9" s="1">
        <f>G11/G2/G3*10^15</f>
        <v>5.4849999999999994</v>
      </c>
      <c r="E9" s="7" t="s">
        <v>14</v>
      </c>
      <c r="F9" s="8">
        <f>1*10^(-3)/F8</f>
        <v>1740.0382808421787</v>
      </c>
      <c r="G9" s="8">
        <f>10^(-3)/G8</f>
        <v>429.00042900042905</v>
      </c>
      <c r="I9" s="13"/>
    </row>
    <row r="10" spans="1:9" x14ac:dyDescent="0.3">
      <c r="A10" s="1"/>
      <c r="B10" s="6">
        <f>F11*10^15</f>
        <v>242.6</v>
      </c>
      <c r="C10" s="6">
        <f>G11*10^15</f>
        <v>109.7</v>
      </c>
      <c r="E10" s="1" t="s">
        <v>15</v>
      </c>
      <c r="F10" s="3">
        <v>-1.0000000000000001E-5</v>
      </c>
      <c r="G10" s="3">
        <v>1.0000000000000001E-5</v>
      </c>
      <c r="I10" s="13"/>
    </row>
    <row r="11" spans="1:9" x14ac:dyDescent="0.3">
      <c r="A11" s="1"/>
      <c r="B11" s="5">
        <f>F1/(B7/2*(F1-B6)^2)*1000</f>
        <v>31.387880182888267</v>
      </c>
      <c r="C11" s="4">
        <f>G1/(C7/2*(G1-C6)^2)*1000</f>
        <v>5.9791879244716251</v>
      </c>
      <c r="E11" s="1" t="s">
        <v>16</v>
      </c>
      <c r="F11" s="3">
        <v>2.426E-13</v>
      </c>
      <c r="G11" s="3">
        <v>1.097E-13</v>
      </c>
      <c r="I11" s="13"/>
    </row>
    <row r="12" spans="1:9" x14ac:dyDescent="0.3">
      <c r="I12" s="13"/>
    </row>
    <row r="13" spans="1:9" x14ac:dyDescent="0.3">
      <c r="A13" s="9" t="s">
        <v>19</v>
      </c>
      <c r="B13" s="9"/>
      <c r="C13" s="10"/>
      <c r="E13" s="1" t="s">
        <v>17</v>
      </c>
      <c r="F13" s="1">
        <v>1.8</v>
      </c>
      <c r="G13" s="1">
        <v>1.8</v>
      </c>
      <c r="I13" s="13"/>
    </row>
    <row r="14" spans="1:9" x14ac:dyDescent="0.3">
      <c r="A14" s="9" t="s">
        <v>18</v>
      </c>
      <c r="B14" s="9"/>
      <c r="C14" s="10"/>
      <c r="E14" s="1" t="s">
        <v>11</v>
      </c>
      <c r="F14" s="1">
        <v>40</v>
      </c>
      <c r="G14" s="1">
        <v>20</v>
      </c>
      <c r="I14" s="13"/>
    </row>
    <row r="15" spans="1:9" x14ac:dyDescent="0.3">
      <c r="A15" s="11" t="s">
        <v>6</v>
      </c>
      <c r="B15" s="11"/>
      <c r="C15" s="12"/>
      <c r="E15" s="1" t="s">
        <v>12</v>
      </c>
      <c r="F15" s="1">
        <v>1</v>
      </c>
      <c r="G15" s="1">
        <v>1</v>
      </c>
      <c r="I15" s="13"/>
    </row>
    <row r="16" spans="1:9" x14ac:dyDescent="0.3">
      <c r="A16" s="1" t="s">
        <v>1</v>
      </c>
      <c r="B16" s="1" t="s">
        <v>3</v>
      </c>
      <c r="C16" s="1" t="s">
        <v>2</v>
      </c>
      <c r="I16" s="13"/>
    </row>
    <row r="17" spans="1:9" x14ac:dyDescent="0.3">
      <c r="A17" s="2" t="s">
        <v>5</v>
      </c>
      <c r="B17" s="1" t="s">
        <v>7</v>
      </c>
      <c r="C17" s="1" t="s">
        <v>8</v>
      </c>
      <c r="I17" s="13"/>
    </row>
    <row r="18" spans="1:9" x14ac:dyDescent="0.3">
      <c r="A18" s="1"/>
      <c r="B18" s="1">
        <f>-F18</f>
        <v>0.49</v>
      </c>
      <c r="C18" s="1">
        <f>G18</f>
        <v>0.38590000000000002</v>
      </c>
      <c r="E18" s="1" t="s">
        <v>10</v>
      </c>
      <c r="F18" s="3">
        <v>-0.49</v>
      </c>
      <c r="G18" s="3">
        <v>0.38590000000000002</v>
      </c>
      <c r="I18" s="13">
        <f>C6</f>
        <v>0.38579999999999998</v>
      </c>
    </row>
    <row r="19" spans="1:9" x14ac:dyDescent="0.3">
      <c r="A19" s="1"/>
      <c r="B19" s="1">
        <f>F19*10^6/(F14/F15)</f>
        <v>80.474999999999994</v>
      </c>
      <c r="C19" s="1">
        <f>G19*10^6/(G14/G15)</f>
        <v>396.30000000000007</v>
      </c>
      <c r="E19" s="1" t="s">
        <v>9</v>
      </c>
      <c r="F19" s="3">
        <v>3.2190000000000001E-3</v>
      </c>
      <c r="G19" s="3">
        <v>7.9260000000000008E-3</v>
      </c>
      <c r="I19" s="13">
        <f>C18</f>
        <v>0.38590000000000002</v>
      </c>
    </row>
    <row r="20" spans="1:9" x14ac:dyDescent="0.3">
      <c r="A20" s="1"/>
      <c r="B20" s="5">
        <f>-1/F21/F22</f>
        <v>61.989999999999988</v>
      </c>
      <c r="C20" s="6">
        <f>1/G21/G22</f>
        <v>257.39999999999998</v>
      </c>
      <c r="E20" s="1" t="s">
        <v>13</v>
      </c>
      <c r="F20" s="3">
        <v>6.1989999999999999E-7</v>
      </c>
      <c r="G20" s="3">
        <v>2.5739999999999998E-6</v>
      </c>
      <c r="I20" s="13">
        <f>C30</f>
        <v>0.34760000000000002</v>
      </c>
    </row>
    <row r="21" spans="1:9" x14ac:dyDescent="0.3">
      <c r="A21" s="1"/>
      <c r="B21" s="1">
        <f>F23/F14/F15*10^15</f>
        <v>6.1774999999999993</v>
      </c>
      <c r="C21" s="1">
        <f>G23/G14/G15*10^15</f>
        <v>5.3950000000000005</v>
      </c>
      <c r="E21" s="7" t="s">
        <v>14</v>
      </c>
      <c r="F21" s="8">
        <f>1*10^(-3)/F20</f>
        <v>1613.1634134537831</v>
      </c>
      <c r="G21" s="8">
        <f>10^(-3)/G20</f>
        <v>388.50038850038851</v>
      </c>
      <c r="I21" s="13">
        <f>C42</f>
        <v>0.29399999999999998</v>
      </c>
    </row>
    <row r="22" spans="1:9" x14ac:dyDescent="0.3">
      <c r="A22" s="1"/>
      <c r="B22" s="6">
        <f>F23*10^15</f>
        <v>247.09999999999997</v>
      </c>
      <c r="C22" s="6">
        <f>G23*10^15</f>
        <v>107.9</v>
      </c>
      <c r="E22" s="1" t="s">
        <v>15</v>
      </c>
      <c r="F22" s="3">
        <v>-1.0000000000000001E-5</v>
      </c>
      <c r="G22" s="3">
        <v>1.0000000000000001E-5</v>
      </c>
      <c r="I22" s="13">
        <f>C54</f>
        <v>0.4395</v>
      </c>
    </row>
    <row r="23" spans="1:9" x14ac:dyDescent="0.3">
      <c r="A23" s="1"/>
      <c r="B23" s="5">
        <f>F13/(B19/2*(F13-B18)^2)*1000</f>
        <v>26.067472502753784</v>
      </c>
      <c r="C23" s="4">
        <f>G13/(C19/2*(G13-C18)^2)*1000</f>
        <v>4.5427431678799239</v>
      </c>
      <c r="E23" s="1" t="s">
        <v>16</v>
      </c>
      <c r="F23" s="3">
        <v>2.4709999999999998E-13</v>
      </c>
      <c r="G23" s="3">
        <v>1.079E-13</v>
      </c>
      <c r="I23" s="13"/>
    </row>
    <row r="24" spans="1:9" x14ac:dyDescent="0.3">
      <c r="I24" s="13"/>
    </row>
    <row r="25" spans="1:9" x14ac:dyDescent="0.3">
      <c r="A25" s="9" t="s">
        <v>20</v>
      </c>
      <c r="B25" s="9"/>
      <c r="C25" s="10"/>
      <c r="E25" s="1" t="s">
        <v>17</v>
      </c>
      <c r="F25" s="1">
        <v>1.8</v>
      </c>
      <c r="G25" s="1">
        <v>1.8</v>
      </c>
      <c r="I25" s="13"/>
    </row>
    <row r="26" spans="1:9" x14ac:dyDescent="0.3">
      <c r="A26" s="9" t="s">
        <v>18</v>
      </c>
      <c r="B26" s="9"/>
      <c r="C26" s="10"/>
      <c r="E26" s="1" t="s">
        <v>11</v>
      </c>
      <c r="F26" s="1">
        <v>40</v>
      </c>
      <c r="G26" s="1">
        <v>20</v>
      </c>
      <c r="I26" s="13"/>
    </row>
    <row r="27" spans="1:9" x14ac:dyDescent="0.3">
      <c r="A27" s="11" t="s">
        <v>6</v>
      </c>
      <c r="B27" s="11"/>
      <c r="C27" s="12"/>
      <c r="E27" s="1" t="s">
        <v>12</v>
      </c>
      <c r="F27" s="1">
        <v>1</v>
      </c>
      <c r="G27" s="1">
        <v>1</v>
      </c>
      <c r="I27" s="13"/>
    </row>
    <row r="28" spans="1:9" x14ac:dyDescent="0.3">
      <c r="A28" s="1" t="s">
        <v>1</v>
      </c>
      <c r="B28" s="1" t="s">
        <v>3</v>
      </c>
      <c r="C28" s="1" t="s">
        <v>2</v>
      </c>
      <c r="I28" s="13"/>
    </row>
    <row r="29" spans="1:9" x14ac:dyDescent="0.3">
      <c r="A29" s="2" t="s">
        <v>5</v>
      </c>
      <c r="B29" s="1" t="s">
        <v>7</v>
      </c>
      <c r="C29" s="1" t="s">
        <v>8</v>
      </c>
      <c r="I29" s="13"/>
    </row>
    <row r="30" spans="1:9" x14ac:dyDescent="0.3">
      <c r="A30" s="1"/>
      <c r="B30" s="1">
        <f>-F30</f>
        <v>0.45760000000000001</v>
      </c>
      <c r="C30" s="1">
        <f>G30</f>
        <v>0.34760000000000002</v>
      </c>
      <c r="E30" s="1" t="s">
        <v>10</v>
      </c>
      <c r="F30" s="3">
        <v>-0.45760000000000001</v>
      </c>
      <c r="G30" s="3">
        <v>0.34760000000000002</v>
      </c>
      <c r="I30" s="13"/>
    </row>
    <row r="31" spans="1:9" x14ac:dyDescent="0.3">
      <c r="A31" s="1"/>
      <c r="B31" s="1">
        <f>F31*10^6/(F26/F27)</f>
        <v>50.199999999999996</v>
      </c>
      <c r="C31" s="1">
        <f>G31*10^6/(G26/G27)</f>
        <v>183.3</v>
      </c>
      <c r="E31" s="1" t="s">
        <v>9</v>
      </c>
      <c r="F31" s="3">
        <v>2.0079999999999998E-3</v>
      </c>
      <c r="G31" s="3">
        <v>3.666E-3</v>
      </c>
      <c r="I31" s="13"/>
    </row>
    <row r="32" spans="1:9" x14ac:dyDescent="0.3">
      <c r="A32" s="1"/>
      <c r="B32" s="5">
        <f>-1/F33/F34</f>
        <v>52.989999999999988</v>
      </c>
      <c r="C32" s="6">
        <f>1/G33/G34</f>
        <v>199.8</v>
      </c>
      <c r="E32" s="1" t="s">
        <v>13</v>
      </c>
      <c r="F32" s="3">
        <v>5.299E-7</v>
      </c>
      <c r="G32" s="3">
        <v>1.9980000000000002E-6</v>
      </c>
      <c r="I32" s="13"/>
    </row>
    <row r="33" spans="1:9" x14ac:dyDescent="0.3">
      <c r="A33" s="1"/>
      <c r="B33" s="1">
        <f>F35/F26/F27*10^15</f>
        <v>5.9650000000000007</v>
      </c>
      <c r="C33" s="1">
        <f>G35/G26/G27*10^15</f>
        <v>5.7450000000000001</v>
      </c>
      <c r="E33" s="7" t="s">
        <v>14</v>
      </c>
      <c r="F33" s="8">
        <f>1*10^(-3)/F32</f>
        <v>1887.148518588413</v>
      </c>
      <c r="G33" s="8">
        <f>10^(-3)/G32</f>
        <v>500.50050050050049</v>
      </c>
      <c r="I33" s="13"/>
    </row>
    <row r="34" spans="1:9" x14ac:dyDescent="0.3">
      <c r="A34" s="1"/>
      <c r="B34" s="6">
        <f>F35*10^15</f>
        <v>238.60000000000002</v>
      </c>
      <c r="C34" s="6">
        <f>G35*10^15</f>
        <v>114.89999999999999</v>
      </c>
      <c r="E34" s="1" t="s">
        <v>15</v>
      </c>
      <c r="F34" s="3">
        <v>-1.0000000000000001E-5</v>
      </c>
      <c r="G34" s="3">
        <v>1.0000000000000001E-5</v>
      </c>
      <c r="I34" s="13"/>
    </row>
    <row r="35" spans="1:9" x14ac:dyDescent="0.3">
      <c r="A35" s="1"/>
      <c r="B35" s="5">
        <f>F25/(B31/2*(F25-B30)^2)*1000</f>
        <v>39.795585310242643</v>
      </c>
      <c r="C35" s="4">
        <f>G25/(C31/2*(G25-C30)^2)*1000</f>
        <v>9.3103831813565687</v>
      </c>
      <c r="E35" s="1" t="s">
        <v>16</v>
      </c>
      <c r="F35" s="3">
        <v>2.3860000000000001E-13</v>
      </c>
      <c r="G35" s="3">
        <v>1.149E-13</v>
      </c>
      <c r="I35" s="13"/>
    </row>
    <row r="36" spans="1:9" x14ac:dyDescent="0.3">
      <c r="I36" s="13"/>
    </row>
    <row r="37" spans="1:9" x14ac:dyDescent="0.3">
      <c r="A37" s="9" t="s">
        <v>21</v>
      </c>
      <c r="B37" s="9"/>
      <c r="C37" s="10"/>
      <c r="E37" s="1" t="s">
        <v>17</v>
      </c>
      <c r="F37" s="1">
        <v>1.8</v>
      </c>
      <c r="G37" s="1">
        <v>1.8</v>
      </c>
      <c r="I37" s="13">
        <f>B7</f>
        <v>67.275000000000006</v>
      </c>
    </row>
    <row r="38" spans="1:9" x14ac:dyDescent="0.3">
      <c r="A38" s="9" t="s">
        <v>18</v>
      </c>
      <c r="B38" s="9"/>
      <c r="C38" s="10"/>
      <c r="E38" s="1" t="s">
        <v>11</v>
      </c>
      <c r="F38" s="1">
        <v>40</v>
      </c>
      <c r="G38" s="1">
        <v>20</v>
      </c>
      <c r="I38" s="13">
        <f>B19</f>
        <v>80.474999999999994</v>
      </c>
    </row>
    <row r="39" spans="1:9" x14ac:dyDescent="0.3">
      <c r="A39" s="11" t="s">
        <v>6</v>
      </c>
      <c r="B39" s="11"/>
      <c r="C39" s="12"/>
      <c r="E39" s="1" t="s">
        <v>12</v>
      </c>
      <c r="F39" s="1">
        <v>1</v>
      </c>
      <c r="G39" s="1">
        <v>1</v>
      </c>
      <c r="I39" s="13">
        <f>B31</f>
        <v>50.199999999999996</v>
      </c>
    </row>
    <row r="40" spans="1:9" x14ac:dyDescent="0.3">
      <c r="A40" s="1" t="s">
        <v>1</v>
      </c>
      <c r="B40" s="1" t="s">
        <v>3</v>
      </c>
      <c r="C40" s="1" t="s">
        <v>2</v>
      </c>
      <c r="I40" s="13">
        <f>B43</f>
        <v>58.125</v>
      </c>
    </row>
    <row r="41" spans="1:9" x14ac:dyDescent="0.3">
      <c r="A41" s="2" t="s">
        <v>5</v>
      </c>
      <c r="B41" s="1" t="s">
        <v>7</v>
      </c>
      <c r="C41" s="1" t="s">
        <v>8</v>
      </c>
      <c r="I41" s="13">
        <f>B55</f>
        <v>70.05</v>
      </c>
    </row>
    <row r="42" spans="1:9" x14ac:dyDescent="0.3">
      <c r="A42" s="1"/>
      <c r="B42" s="1">
        <f>-F42</f>
        <v>0.39839999999999998</v>
      </c>
      <c r="C42" s="1">
        <f>G42</f>
        <v>0.29399999999999998</v>
      </c>
      <c r="E42" s="1" t="s">
        <v>10</v>
      </c>
      <c r="F42" s="3">
        <v>-0.39839999999999998</v>
      </c>
      <c r="G42" s="3">
        <v>0.29399999999999998</v>
      </c>
      <c r="I42" s="13"/>
    </row>
    <row r="43" spans="1:9" x14ac:dyDescent="0.3">
      <c r="A43" s="1"/>
      <c r="B43" s="1">
        <f>F43*10^6/(F38/F39)</f>
        <v>58.125</v>
      </c>
      <c r="C43" s="1">
        <f>G43*10^6/(G38/G39)</f>
        <v>213.5</v>
      </c>
      <c r="E43" s="1" t="s">
        <v>9</v>
      </c>
      <c r="F43" s="3">
        <v>2.3249999999999998E-3</v>
      </c>
      <c r="G43" s="3">
        <v>4.2700000000000004E-3</v>
      </c>
      <c r="I43" s="13"/>
    </row>
    <row r="44" spans="1:9" x14ac:dyDescent="0.3">
      <c r="A44" s="1"/>
      <c r="B44" s="5">
        <f>-1/F45/F46</f>
        <v>60.989999999999988</v>
      </c>
      <c r="C44" s="6">
        <f>1/G45/G46</f>
        <v>223.09999999999997</v>
      </c>
      <c r="E44" s="1" t="s">
        <v>13</v>
      </c>
      <c r="F44" s="3">
        <v>6.0989999999999998E-7</v>
      </c>
      <c r="G44" s="3">
        <v>2.2309999999999999E-6</v>
      </c>
      <c r="I44" s="13"/>
    </row>
    <row r="45" spans="1:9" x14ac:dyDescent="0.3">
      <c r="A45" s="1"/>
      <c r="B45" s="1">
        <f>F47/F38/F39*10^15</f>
        <v>6.0699999999999994</v>
      </c>
      <c r="C45" s="1">
        <f>G47/G38/G39*10^15</f>
        <v>5.6400000000000006</v>
      </c>
      <c r="E45" s="7" t="s">
        <v>14</v>
      </c>
      <c r="F45" s="8">
        <f>1*10^(-3)/F44</f>
        <v>1639.6130513198887</v>
      </c>
      <c r="G45" s="8">
        <f>10^(-3)/G44</f>
        <v>448.22949350067239</v>
      </c>
      <c r="I45" s="13"/>
    </row>
    <row r="46" spans="1:9" x14ac:dyDescent="0.3">
      <c r="A46" s="1"/>
      <c r="B46" s="6">
        <f>F47*10^15</f>
        <v>242.79999999999998</v>
      </c>
      <c r="C46" s="6">
        <f>G47*10^15</f>
        <v>112.8</v>
      </c>
      <c r="E46" s="1" t="s">
        <v>15</v>
      </c>
      <c r="F46" s="3">
        <v>-1.0000000000000001E-5</v>
      </c>
      <c r="G46" s="3">
        <v>1.0000000000000001E-5</v>
      </c>
      <c r="I46" s="13"/>
    </row>
    <row r="47" spans="1:9" x14ac:dyDescent="0.3">
      <c r="A47" s="1"/>
      <c r="B47" s="5">
        <f>F37/(B43/2*(F37-B42)^2)*1000</f>
        <v>31.527632330300619</v>
      </c>
      <c r="C47" s="4">
        <f>G37/(C43/2*(G37-C42)^2)*1000</f>
        <v>7.4345498474857861</v>
      </c>
      <c r="E47" s="1" t="s">
        <v>16</v>
      </c>
      <c r="F47" s="3">
        <v>2.4279999999999999E-13</v>
      </c>
      <c r="G47" s="3">
        <v>1.128E-13</v>
      </c>
      <c r="I47" s="13"/>
    </row>
    <row r="48" spans="1:9" x14ac:dyDescent="0.3">
      <c r="I48" s="13"/>
    </row>
    <row r="49" spans="1:9" x14ac:dyDescent="0.3">
      <c r="A49" s="9" t="s">
        <v>22</v>
      </c>
      <c r="B49" s="9"/>
      <c r="C49" s="10"/>
      <c r="E49" s="1" t="s">
        <v>17</v>
      </c>
      <c r="F49" s="1">
        <v>1.8</v>
      </c>
      <c r="G49" s="1">
        <v>1.8</v>
      </c>
      <c r="I49" s="13">
        <f>C7</f>
        <v>301.05</v>
      </c>
    </row>
    <row r="50" spans="1:9" x14ac:dyDescent="0.3">
      <c r="A50" s="9" t="s">
        <v>18</v>
      </c>
      <c r="B50" s="9"/>
      <c r="C50" s="10"/>
      <c r="E50" s="1" t="s">
        <v>11</v>
      </c>
      <c r="F50" s="1">
        <v>40</v>
      </c>
      <c r="G50" s="1">
        <v>20</v>
      </c>
      <c r="I50" s="13">
        <f>C19</f>
        <v>396.30000000000007</v>
      </c>
    </row>
    <row r="51" spans="1:9" x14ac:dyDescent="0.3">
      <c r="A51" s="11" t="s">
        <v>6</v>
      </c>
      <c r="B51" s="11"/>
      <c r="C51" s="12"/>
      <c r="E51" s="1" t="s">
        <v>12</v>
      </c>
      <c r="F51" s="1">
        <v>1</v>
      </c>
      <c r="G51" s="1">
        <v>1</v>
      </c>
      <c r="I51" s="13">
        <f>C31</f>
        <v>183.3</v>
      </c>
    </row>
    <row r="52" spans="1:9" x14ac:dyDescent="0.3">
      <c r="A52" s="1" t="s">
        <v>1</v>
      </c>
      <c r="B52" s="1" t="s">
        <v>3</v>
      </c>
      <c r="C52" s="1" t="s">
        <v>2</v>
      </c>
      <c r="I52" s="13">
        <f>C43</f>
        <v>213.5</v>
      </c>
    </row>
    <row r="53" spans="1:9" x14ac:dyDescent="0.3">
      <c r="A53" s="2" t="s">
        <v>5</v>
      </c>
      <c r="B53" s="1" t="s">
        <v>7</v>
      </c>
      <c r="C53" s="1" t="s">
        <v>8</v>
      </c>
      <c r="I53" s="13">
        <f>C55</f>
        <v>342.4</v>
      </c>
    </row>
    <row r="54" spans="1:9" x14ac:dyDescent="0.3">
      <c r="A54" s="1"/>
      <c r="B54" s="1">
        <f>-F54</f>
        <v>0.54910000000000003</v>
      </c>
      <c r="C54" s="1">
        <f>G54</f>
        <v>0.4395</v>
      </c>
      <c r="E54" s="1" t="s">
        <v>10</v>
      </c>
      <c r="F54" s="3">
        <v>-0.54910000000000003</v>
      </c>
      <c r="G54" s="3">
        <v>0.4395</v>
      </c>
    </row>
    <row r="55" spans="1:9" x14ac:dyDescent="0.3">
      <c r="A55" s="1"/>
      <c r="B55" s="1">
        <f>F55*10^6/(F50/F51)</f>
        <v>70.05</v>
      </c>
      <c r="C55" s="1">
        <f>G55*10^6/(G50/G51)</f>
        <v>342.4</v>
      </c>
      <c r="E55" s="1" t="s">
        <v>9</v>
      </c>
      <c r="F55" s="3">
        <v>2.8019999999999998E-3</v>
      </c>
      <c r="G55" s="3">
        <v>6.8479999999999999E-3</v>
      </c>
    </row>
    <row r="56" spans="1:9" x14ac:dyDescent="0.3">
      <c r="A56" s="1"/>
      <c r="B56" s="5">
        <f>-1/F57/F58</f>
        <v>55.379999999999995</v>
      </c>
      <c r="C56" s="6">
        <f>1/G57/G58</f>
        <v>241.09999999999997</v>
      </c>
      <c r="E56" s="1" t="s">
        <v>13</v>
      </c>
      <c r="F56" s="3">
        <v>5.538E-7</v>
      </c>
      <c r="G56" s="3">
        <v>2.4109999999999999E-6</v>
      </c>
    </row>
    <row r="57" spans="1:9" x14ac:dyDescent="0.3">
      <c r="A57" s="1"/>
      <c r="B57" s="1">
        <f>F59/F50/F51*10^15</f>
        <v>6.0699999999999994</v>
      </c>
      <c r="C57" s="1">
        <f>G59/G50/G51*10^15</f>
        <v>5.56</v>
      </c>
      <c r="E57" s="7" t="s">
        <v>14</v>
      </c>
      <c r="F57" s="8">
        <f>1*10^(-3)/F56</f>
        <v>1805.7060310581437</v>
      </c>
      <c r="G57" s="8">
        <f>10^(-3)/G56</f>
        <v>414.76565740356699</v>
      </c>
    </row>
    <row r="58" spans="1:9" x14ac:dyDescent="0.3">
      <c r="A58" s="1"/>
      <c r="B58" s="6">
        <f>F59*10^15</f>
        <v>242.79999999999998</v>
      </c>
      <c r="C58" s="6">
        <f>G59*10^15</f>
        <v>111.19999999999999</v>
      </c>
      <c r="E58" s="1" t="s">
        <v>15</v>
      </c>
      <c r="F58" s="3">
        <v>-1.0000000000000001E-5</v>
      </c>
      <c r="G58" s="3">
        <v>1.0000000000000001E-5</v>
      </c>
    </row>
    <row r="59" spans="1:9" x14ac:dyDescent="0.3">
      <c r="A59" s="1"/>
      <c r="B59" s="5">
        <f>F49/(B55/2*(F49-B54)^2)*1000</f>
        <v>32.843480653019832</v>
      </c>
      <c r="C59" s="4">
        <f>G49/(C55/2*(G49-C54)^2)*1000</f>
        <v>5.6803049614862262</v>
      </c>
      <c r="E59" s="1" t="s">
        <v>16</v>
      </c>
      <c r="F59" s="3">
        <v>2.4279999999999999E-13</v>
      </c>
      <c r="G59" s="3">
        <v>1.112E-13</v>
      </c>
    </row>
  </sheetData>
  <mergeCells count="15">
    <mergeCell ref="A15:C15"/>
    <mergeCell ref="A1:C1"/>
    <mergeCell ref="A2:C2"/>
    <mergeCell ref="A3:C3"/>
    <mergeCell ref="A13:C13"/>
    <mergeCell ref="A14:C14"/>
    <mergeCell ref="A49:C49"/>
    <mergeCell ref="A50:C50"/>
    <mergeCell ref="A51:C51"/>
    <mergeCell ref="A25:C25"/>
    <mergeCell ref="A26:C26"/>
    <mergeCell ref="A27:C27"/>
    <mergeCell ref="A37:C37"/>
    <mergeCell ref="A38:C38"/>
    <mergeCell ref="A39:C3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0107-CED4-4A24-B420-83DBDB918042}">
  <dimension ref="A1:M59"/>
  <sheetViews>
    <sheetView showGridLines="0" zoomScale="85" zoomScaleNormal="85" workbookViewId="0">
      <selection activeCell="O22" sqref="O22"/>
    </sheetView>
  </sheetViews>
  <sheetFormatPr defaultRowHeight="14.5" x14ac:dyDescent="0.3"/>
  <cols>
    <col min="1" max="1" width="30.796875" customWidth="1"/>
    <col min="2" max="7" width="10.69921875" customWidth="1"/>
  </cols>
  <sheetData>
    <row r="1" spans="1:13" x14ac:dyDescent="0.3">
      <c r="A1" s="14" t="s">
        <v>0</v>
      </c>
      <c r="B1" s="14"/>
      <c r="C1" s="15"/>
      <c r="E1" s="1" t="s">
        <v>17</v>
      </c>
      <c r="F1" s="1">
        <v>1.8</v>
      </c>
      <c r="G1" s="1">
        <v>1.8</v>
      </c>
      <c r="I1" s="20">
        <f>B6</f>
        <v>0.49430000000000002</v>
      </c>
      <c r="J1" s="20">
        <f>C6</f>
        <v>0.3856</v>
      </c>
    </row>
    <row r="2" spans="1:13" x14ac:dyDescent="0.3">
      <c r="A2" s="14" t="s">
        <v>18</v>
      </c>
      <c r="B2" s="14"/>
      <c r="C2" s="15"/>
      <c r="E2" s="1" t="s">
        <v>11</v>
      </c>
      <c r="F2" s="1">
        <v>40</v>
      </c>
      <c r="G2" s="1">
        <v>20</v>
      </c>
      <c r="I2" s="20">
        <f>B18</f>
        <v>0.58830000000000005</v>
      </c>
      <c r="J2" s="20">
        <f>C18</f>
        <v>0.43269999999999997</v>
      </c>
    </row>
    <row r="3" spans="1:13" x14ac:dyDescent="0.3">
      <c r="A3" s="16" t="s">
        <v>6</v>
      </c>
      <c r="B3" s="16"/>
      <c r="C3" s="17"/>
      <c r="E3" s="1" t="s">
        <v>12</v>
      </c>
      <c r="F3" s="1">
        <v>1</v>
      </c>
      <c r="G3" s="1">
        <v>1</v>
      </c>
      <c r="I3" s="20">
        <f>B30</f>
        <v>0.45760000000000001</v>
      </c>
      <c r="J3" s="20">
        <f>C30</f>
        <v>0.34720000000000001</v>
      </c>
    </row>
    <row r="4" spans="1:13" x14ac:dyDescent="0.3">
      <c r="A4" s="1" t="s">
        <v>1</v>
      </c>
      <c r="B4" s="1" t="s">
        <v>3</v>
      </c>
      <c r="C4" s="1" t="s">
        <v>2</v>
      </c>
      <c r="I4" s="20">
        <f>B42</f>
        <v>0.39839999999999998</v>
      </c>
      <c r="J4" s="20">
        <f>C42</f>
        <v>0.29370000000000002</v>
      </c>
    </row>
    <row r="5" spans="1:13" x14ac:dyDescent="0.3">
      <c r="A5" s="2" t="s">
        <v>5</v>
      </c>
      <c r="B5" s="1" t="s">
        <v>7</v>
      </c>
      <c r="C5" s="1" t="s">
        <v>8</v>
      </c>
      <c r="I5" s="20">
        <f>B54</f>
        <v>0.54910000000000003</v>
      </c>
      <c r="J5" s="20">
        <f>C54</f>
        <v>0.43919999999999998</v>
      </c>
    </row>
    <row r="6" spans="1:13" x14ac:dyDescent="0.3">
      <c r="A6" s="1" t="s">
        <v>24</v>
      </c>
      <c r="B6" s="1">
        <f>-F6</f>
        <v>0.49430000000000002</v>
      </c>
      <c r="C6" s="1">
        <f>G6</f>
        <v>0.3856</v>
      </c>
      <c r="E6" s="1" t="s">
        <v>10</v>
      </c>
      <c r="F6" s="3">
        <v>-0.49430000000000002</v>
      </c>
      <c r="G6" s="3">
        <v>0.3856</v>
      </c>
      <c r="I6" s="20"/>
      <c r="J6" s="20"/>
    </row>
    <row r="7" spans="1:13" x14ac:dyDescent="0.3">
      <c r="A7" s="1"/>
      <c r="B7" s="1">
        <f>F7*10^6/(F2/F3)</f>
        <v>66.55</v>
      </c>
      <c r="C7" s="1">
        <f>G7*10^6/(G2/G3)</f>
        <v>301.39999999999998</v>
      </c>
      <c r="E7" s="1" t="s">
        <v>9</v>
      </c>
      <c r="F7" s="3">
        <v>2.6619999999999999E-3</v>
      </c>
      <c r="G7" s="3">
        <v>6.0280000000000004E-3</v>
      </c>
      <c r="I7" s="20">
        <f>B7</f>
        <v>66.55</v>
      </c>
      <c r="J7" s="20">
        <f>C7</f>
        <v>301.39999999999998</v>
      </c>
    </row>
    <row r="8" spans="1:13" x14ac:dyDescent="0.3">
      <c r="A8" s="1"/>
      <c r="B8" s="5">
        <f>-1/F9/F10</f>
        <v>53.7</v>
      </c>
      <c r="C8" s="6">
        <f>1/G9/G10</f>
        <v>201.64999999999998</v>
      </c>
      <c r="E8" s="1" t="s">
        <v>13</v>
      </c>
      <c r="F8" s="1">
        <v>1.074E-6</v>
      </c>
      <c r="G8" s="1">
        <v>4.0330000000000002E-6</v>
      </c>
      <c r="I8" s="20">
        <f>B19</f>
        <v>79.7</v>
      </c>
      <c r="J8" s="20">
        <f>C19</f>
        <v>396.99999999999994</v>
      </c>
    </row>
    <row r="9" spans="1:13" x14ac:dyDescent="0.3">
      <c r="A9" s="1"/>
      <c r="B9" s="1">
        <f>F11/F2/F3*10^15</f>
        <v>6.4849999999999994</v>
      </c>
      <c r="C9" s="1">
        <f>G11/G2/G3*10^15</f>
        <v>6.4750000000000005</v>
      </c>
      <c r="E9" s="7" t="s">
        <v>14</v>
      </c>
      <c r="F9" s="8">
        <f>1*10^(-3)/F8</f>
        <v>931.09869646182494</v>
      </c>
      <c r="G9" s="8">
        <f>10^(-3)/G8</f>
        <v>247.95437639474335</v>
      </c>
      <c r="I9" s="20">
        <f>B31</f>
        <v>49.5</v>
      </c>
      <c r="J9" s="20">
        <f>C31</f>
        <v>183.15</v>
      </c>
    </row>
    <row r="10" spans="1:13" x14ac:dyDescent="0.3">
      <c r="A10" s="1"/>
      <c r="B10" s="6">
        <f>F11*10^15</f>
        <v>259.39999999999998</v>
      </c>
      <c r="C10" s="6">
        <f>G11*10^15</f>
        <v>129.5</v>
      </c>
      <c r="E10" s="1" t="s">
        <v>15</v>
      </c>
      <c r="F10" s="3">
        <v>-2.0000000000000002E-5</v>
      </c>
      <c r="G10" s="3">
        <v>2.0000000000000002E-5</v>
      </c>
      <c r="I10" s="20">
        <f>B43</f>
        <v>57.274999999999999</v>
      </c>
      <c r="J10" s="20">
        <f>C43</f>
        <v>213.4</v>
      </c>
    </row>
    <row r="11" spans="1:13" x14ac:dyDescent="0.3">
      <c r="A11" s="1"/>
      <c r="B11" s="5">
        <f>F1/(B7/2*(F1-B6)^2)*1000</f>
        <v>31.729821777668047</v>
      </c>
      <c r="C11" s="4">
        <f>G1/(C7/2*(G1-C6)^2)*1000</f>
        <v>5.9705557435828318</v>
      </c>
      <c r="E11" s="1" t="s">
        <v>16</v>
      </c>
      <c r="F11" s="3">
        <v>2.5939999999999999E-13</v>
      </c>
      <c r="G11" s="3">
        <v>1.295E-13</v>
      </c>
      <c r="I11" s="20">
        <f>B55</f>
        <v>57.274999999999999</v>
      </c>
      <c r="J11" s="20">
        <f>C55</f>
        <v>342.9</v>
      </c>
    </row>
    <row r="12" spans="1:13" x14ac:dyDescent="0.3">
      <c r="M12" t="s">
        <v>23</v>
      </c>
    </row>
    <row r="13" spans="1:13" x14ac:dyDescent="0.3">
      <c r="A13" s="18" t="s">
        <v>19</v>
      </c>
      <c r="B13" s="18"/>
      <c r="C13" s="19"/>
      <c r="E13" s="1" t="s">
        <v>17</v>
      </c>
      <c r="F13" s="1">
        <v>1.8</v>
      </c>
      <c r="G13" s="1">
        <v>1.8</v>
      </c>
    </row>
    <row r="14" spans="1:13" x14ac:dyDescent="0.3">
      <c r="A14" s="14" t="s">
        <v>18</v>
      </c>
      <c r="B14" s="14"/>
      <c r="C14" s="15"/>
      <c r="E14" s="1" t="s">
        <v>11</v>
      </c>
      <c r="F14" s="1">
        <v>40</v>
      </c>
      <c r="G14" s="1">
        <v>20</v>
      </c>
    </row>
    <row r="15" spans="1:13" x14ac:dyDescent="0.3">
      <c r="A15" s="16" t="s">
        <v>6</v>
      </c>
      <c r="B15" s="16"/>
      <c r="C15" s="17"/>
      <c r="E15" s="1" t="s">
        <v>12</v>
      </c>
      <c r="F15" s="1">
        <v>1</v>
      </c>
      <c r="G15" s="1">
        <v>1</v>
      </c>
    </row>
    <row r="16" spans="1:13" x14ac:dyDescent="0.3">
      <c r="A16" s="1" t="s">
        <v>1</v>
      </c>
      <c r="B16" s="1" t="s">
        <v>3</v>
      </c>
      <c r="C16" s="1" t="s">
        <v>2</v>
      </c>
    </row>
    <row r="17" spans="1:7" x14ac:dyDescent="0.3">
      <c r="A17" s="2" t="s">
        <v>5</v>
      </c>
      <c r="B17" s="1" t="s">
        <v>7</v>
      </c>
      <c r="C17" s="1" t="s">
        <v>8</v>
      </c>
    </row>
    <row r="18" spans="1:7" x14ac:dyDescent="0.3">
      <c r="A18" s="1"/>
      <c r="B18" s="1">
        <f>-F18</f>
        <v>0.58830000000000005</v>
      </c>
      <c r="C18" s="1">
        <f>G18</f>
        <v>0.43269999999999997</v>
      </c>
      <c r="E18" s="1" t="s">
        <v>10</v>
      </c>
      <c r="F18" s="3">
        <v>-0.58830000000000005</v>
      </c>
      <c r="G18" s="3">
        <v>0.43269999999999997</v>
      </c>
    </row>
    <row r="19" spans="1:7" x14ac:dyDescent="0.3">
      <c r="A19" s="1"/>
      <c r="B19" s="1">
        <f>F19*10^6/(F14/F15)</f>
        <v>79.7</v>
      </c>
      <c r="C19" s="1">
        <f>G19*10^6/(G14/G15)</f>
        <v>396.99999999999994</v>
      </c>
      <c r="E19" s="1" t="s">
        <v>9</v>
      </c>
      <c r="F19" s="3">
        <v>3.1879999999999999E-3</v>
      </c>
      <c r="G19" s="3">
        <v>7.9399999999999991E-3</v>
      </c>
    </row>
    <row r="20" spans="1:7" x14ac:dyDescent="0.3">
      <c r="A20" s="1"/>
      <c r="B20" s="5">
        <f>-1/F21/F22</f>
        <v>57.649999999999991</v>
      </c>
      <c r="C20" s="6">
        <f>1/G21/G22</f>
        <v>223.74999999999997</v>
      </c>
      <c r="E20" s="1" t="s">
        <v>13</v>
      </c>
      <c r="F20" s="3">
        <v>1.153E-6</v>
      </c>
      <c r="G20" s="3">
        <v>4.4750000000000004E-6</v>
      </c>
    </row>
    <row r="21" spans="1:7" x14ac:dyDescent="0.3">
      <c r="A21" s="1"/>
      <c r="B21" s="1">
        <f>F23/F14/F15*10^15</f>
        <v>6.6225000000000005</v>
      </c>
      <c r="C21" s="1">
        <f>G23/G14/G15*10^15</f>
        <v>6.51</v>
      </c>
      <c r="E21" s="7" t="s">
        <v>14</v>
      </c>
      <c r="F21" s="8">
        <f>1*10^(-3)/F20</f>
        <v>867.30268863833476</v>
      </c>
      <c r="G21" s="8">
        <f>10^(-3)/G20</f>
        <v>223.46368715083798</v>
      </c>
    </row>
    <row r="22" spans="1:7" x14ac:dyDescent="0.3">
      <c r="A22" s="1"/>
      <c r="B22" s="6">
        <f>F23*10^15</f>
        <v>264.90000000000003</v>
      </c>
      <c r="C22" s="6">
        <f>G23*10^15</f>
        <v>130.19999999999999</v>
      </c>
      <c r="E22" s="1" t="s">
        <v>15</v>
      </c>
      <c r="F22" s="3">
        <v>-2.0000000000000002E-5</v>
      </c>
      <c r="G22" s="3">
        <v>2.0000000000000002E-5</v>
      </c>
    </row>
    <row r="23" spans="1:7" x14ac:dyDescent="0.3">
      <c r="A23" s="1"/>
      <c r="B23" s="5">
        <f>F13/(B19/2*(F13-B18)^2)*1000</f>
        <v>30.764790612427358</v>
      </c>
      <c r="C23" s="4">
        <f>G13/(C19/2*(G13-C18)^2)*1000</f>
        <v>4.8504760709516184</v>
      </c>
      <c r="E23" s="1" t="s">
        <v>16</v>
      </c>
      <c r="F23" s="3">
        <v>2.6490000000000001E-13</v>
      </c>
      <c r="G23" s="3">
        <v>1.3019999999999999E-13</v>
      </c>
    </row>
    <row r="25" spans="1:7" x14ac:dyDescent="0.3">
      <c r="A25" s="18" t="s">
        <v>20</v>
      </c>
      <c r="B25" s="18"/>
      <c r="C25" s="19"/>
      <c r="E25" s="1" t="s">
        <v>17</v>
      </c>
      <c r="F25" s="1">
        <v>1.8</v>
      </c>
      <c r="G25" s="1">
        <v>1.8</v>
      </c>
    </row>
    <row r="26" spans="1:7" x14ac:dyDescent="0.3">
      <c r="A26" s="14" t="s">
        <v>18</v>
      </c>
      <c r="B26" s="14"/>
      <c r="C26" s="15"/>
      <c r="E26" s="1" t="s">
        <v>11</v>
      </c>
      <c r="F26" s="1">
        <v>40</v>
      </c>
      <c r="G26" s="1">
        <v>20</v>
      </c>
    </row>
    <row r="27" spans="1:7" x14ac:dyDescent="0.3">
      <c r="A27" s="16" t="s">
        <v>6</v>
      </c>
      <c r="B27" s="16"/>
      <c r="C27" s="17"/>
      <c r="E27" s="1" t="s">
        <v>12</v>
      </c>
      <c r="F27" s="1">
        <v>1</v>
      </c>
      <c r="G27" s="1">
        <v>1</v>
      </c>
    </row>
    <row r="28" spans="1:7" x14ac:dyDescent="0.3">
      <c r="A28" s="1" t="s">
        <v>1</v>
      </c>
      <c r="B28" s="1" t="s">
        <v>3</v>
      </c>
      <c r="C28" s="1" t="s">
        <v>2</v>
      </c>
    </row>
    <row r="29" spans="1:7" x14ac:dyDescent="0.3">
      <c r="A29" s="2" t="s">
        <v>5</v>
      </c>
      <c r="B29" s="1" t="s">
        <v>7</v>
      </c>
      <c r="C29" s="1" t="s">
        <v>8</v>
      </c>
    </row>
    <row r="30" spans="1:7" x14ac:dyDescent="0.3">
      <c r="A30" s="1"/>
      <c r="B30" s="1">
        <f>-F30</f>
        <v>0.45760000000000001</v>
      </c>
      <c r="C30" s="1">
        <f>G30</f>
        <v>0.34720000000000001</v>
      </c>
      <c r="E30" s="1" t="s">
        <v>10</v>
      </c>
      <c r="F30" s="3">
        <v>-0.45760000000000001</v>
      </c>
      <c r="G30" s="3">
        <v>0.34720000000000001</v>
      </c>
    </row>
    <row r="31" spans="1:7" x14ac:dyDescent="0.3">
      <c r="A31" s="1"/>
      <c r="B31" s="1">
        <f>F31*10^6/(F26/F27)</f>
        <v>49.5</v>
      </c>
      <c r="C31" s="1">
        <f>G31*10^6/(G26/G27)</f>
        <v>183.15</v>
      </c>
      <c r="E31" s="1" t="s">
        <v>9</v>
      </c>
      <c r="F31" s="3">
        <v>1.98E-3</v>
      </c>
      <c r="G31" s="3">
        <v>3.663E-3</v>
      </c>
    </row>
    <row r="32" spans="1:7" x14ac:dyDescent="0.3">
      <c r="A32" s="1"/>
      <c r="B32" s="5">
        <f>-1/F33/F34</f>
        <v>49.914999999999992</v>
      </c>
      <c r="C32" s="6">
        <f>1/G33/G34</f>
        <v>172.39999999999998</v>
      </c>
      <c r="E32" s="1" t="s">
        <v>13</v>
      </c>
      <c r="F32" s="3">
        <v>9.9830000000000004E-7</v>
      </c>
      <c r="G32" s="3">
        <v>3.4479999999999999E-6</v>
      </c>
    </row>
    <row r="33" spans="1:7" x14ac:dyDescent="0.3">
      <c r="A33" s="1"/>
      <c r="B33" s="1">
        <f>F35/F26/F27*10^15</f>
        <v>6.35</v>
      </c>
      <c r="C33" s="1">
        <f>G35/G26/G27*10^15</f>
        <v>6.5250000000000004</v>
      </c>
      <c r="E33" s="7" t="s">
        <v>14</v>
      </c>
      <c r="F33" s="8">
        <f>1*10^(-3)/F32</f>
        <v>1001.7028949213664</v>
      </c>
      <c r="G33" s="8">
        <f>10^(-3)/G32</f>
        <v>290.02320185614849</v>
      </c>
    </row>
    <row r="34" spans="1:7" x14ac:dyDescent="0.3">
      <c r="A34" s="1"/>
      <c r="B34" s="6">
        <f>F35*10^15</f>
        <v>253.99999999999997</v>
      </c>
      <c r="C34" s="6">
        <f>G35*10^15</f>
        <v>130.5</v>
      </c>
      <c r="E34" s="1" t="s">
        <v>15</v>
      </c>
      <c r="F34" s="3">
        <v>-2.0000000000000002E-5</v>
      </c>
      <c r="G34" s="3">
        <v>2.0000000000000002E-5</v>
      </c>
    </row>
    <row r="35" spans="1:7" x14ac:dyDescent="0.3">
      <c r="A35" s="1"/>
      <c r="B35" s="5">
        <f>F25/(B31/2*(F25-B30)^2)*1000</f>
        <v>40.358351163114769</v>
      </c>
      <c r="C35" s="4">
        <f>G25/(C31/2*(G25-C30)^2)*1000</f>
        <v>9.3128780372856497</v>
      </c>
      <c r="E35" s="1" t="s">
        <v>16</v>
      </c>
      <c r="F35" s="3">
        <v>2.5399999999999998E-13</v>
      </c>
      <c r="G35" s="3">
        <v>1.305E-13</v>
      </c>
    </row>
    <row r="37" spans="1:7" x14ac:dyDescent="0.3">
      <c r="A37" s="18" t="s">
        <v>21</v>
      </c>
      <c r="B37" s="18"/>
      <c r="C37" s="19"/>
      <c r="E37" s="1" t="s">
        <v>17</v>
      </c>
      <c r="F37" s="1">
        <v>1.8</v>
      </c>
      <c r="G37" s="1">
        <v>1.8</v>
      </c>
    </row>
    <row r="38" spans="1:7" x14ac:dyDescent="0.3">
      <c r="A38" s="14" t="s">
        <v>18</v>
      </c>
      <c r="B38" s="14"/>
      <c r="C38" s="15"/>
      <c r="E38" s="1" t="s">
        <v>11</v>
      </c>
      <c r="F38" s="1">
        <v>40</v>
      </c>
      <c r="G38" s="1">
        <v>20</v>
      </c>
    </row>
    <row r="39" spans="1:7" x14ac:dyDescent="0.3">
      <c r="A39" s="16" t="s">
        <v>6</v>
      </c>
      <c r="B39" s="16"/>
      <c r="C39" s="17"/>
      <c r="E39" s="1" t="s">
        <v>12</v>
      </c>
      <c r="F39" s="1">
        <v>1</v>
      </c>
      <c r="G39" s="1">
        <v>1</v>
      </c>
    </row>
    <row r="40" spans="1:7" x14ac:dyDescent="0.3">
      <c r="A40" s="1" t="s">
        <v>1</v>
      </c>
      <c r="B40" s="1" t="s">
        <v>3</v>
      </c>
      <c r="C40" s="1" t="s">
        <v>2</v>
      </c>
    </row>
    <row r="41" spans="1:7" x14ac:dyDescent="0.3">
      <c r="A41" s="2" t="s">
        <v>5</v>
      </c>
      <c r="B41" s="1" t="s">
        <v>7</v>
      </c>
      <c r="C41" s="1" t="s">
        <v>8</v>
      </c>
    </row>
    <row r="42" spans="1:7" x14ac:dyDescent="0.3">
      <c r="A42" s="1"/>
      <c r="B42" s="1">
        <f>-F42</f>
        <v>0.39839999999999998</v>
      </c>
      <c r="C42" s="1">
        <f>G42</f>
        <v>0.29370000000000002</v>
      </c>
      <c r="E42" s="1" t="s">
        <v>10</v>
      </c>
      <c r="F42" s="3">
        <v>-0.39839999999999998</v>
      </c>
      <c r="G42" s="3">
        <v>0.29370000000000002</v>
      </c>
    </row>
    <row r="43" spans="1:7" x14ac:dyDescent="0.3">
      <c r="A43" s="1"/>
      <c r="B43" s="1">
        <f>F43*10^6/(F38/F39)</f>
        <v>57.274999999999999</v>
      </c>
      <c r="C43" s="1">
        <f>G43*10^6/(G38/G39)</f>
        <v>213.4</v>
      </c>
      <c r="E43" s="1" t="s">
        <v>9</v>
      </c>
      <c r="F43" s="3">
        <v>2.2910000000000001E-3</v>
      </c>
      <c r="G43" s="3">
        <v>4.2680000000000001E-3</v>
      </c>
    </row>
    <row r="44" spans="1:7" x14ac:dyDescent="0.3">
      <c r="A44" s="1"/>
      <c r="B44" s="5">
        <f>-1/F45/F46</f>
        <v>57.29999999999999</v>
      </c>
      <c r="C44" s="6">
        <f>1/G45/G46</f>
        <v>193.74999999999997</v>
      </c>
      <c r="E44" s="1" t="s">
        <v>13</v>
      </c>
      <c r="F44" s="3">
        <v>1.1459999999999999E-6</v>
      </c>
      <c r="G44" s="3">
        <v>3.8750000000000002E-6</v>
      </c>
    </row>
    <row r="45" spans="1:7" x14ac:dyDescent="0.3">
      <c r="A45" s="1"/>
      <c r="B45" s="1">
        <f>F47/F38/F39*10^15</f>
        <v>6.5349999999999993</v>
      </c>
      <c r="C45" s="1">
        <f>G47/G38/G39*10^15</f>
        <v>6.5450000000000008</v>
      </c>
      <c r="E45" s="7" t="s">
        <v>14</v>
      </c>
      <c r="F45" s="8">
        <f>1*10^(-3)/F44</f>
        <v>872.60034904013969</v>
      </c>
      <c r="G45" s="8">
        <f>10^(-3)/G44</f>
        <v>258.06451612903226</v>
      </c>
    </row>
    <row r="46" spans="1:7" x14ac:dyDescent="0.3">
      <c r="A46" s="1"/>
      <c r="B46" s="6">
        <f>F47*10^15</f>
        <v>261.39999999999998</v>
      </c>
      <c r="C46" s="6">
        <f>G47*10^15</f>
        <v>130.9</v>
      </c>
      <c r="E46" s="1" t="s">
        <v>15</v>
      </c>
      <c r="F46" s="3">
        <v>-2.0000000000000002E-5</v>
      </c>
      <c r="G46" s="3">
        <v>2.0000000000000002E-5</v>
      </c>
    </row>
    <row r="47" spans="1:7" x14ac:dyDescent="0.3">
      <c r="A47" s="1"/>
      <c r="B47" s="5">
        <f>F37/(B43/2*(F37-B42)^2)*1000</f>
        <v>31.995523862046682</v>
      </c>
      <c r="C47" s="4">
        <f>G37/(C43/2*(G37-C42)^2)*1000</f>
        <v>7.435071229211208</v>
      </c>
      <c r="E47" s="1" t="s">
        <v>16</v>
      </c>
      <c r="F47" s="3">
        <v>2.6139999999999998E-13</v>
      </c>
      <c r="G47" s="3">
        <v>1.309E-13</v>
      </c>
    </row>
    <row r="49" spans="1:7" x14ac:dyDescent="0.3">
      <c r="A49" s="18" t="s">
        <v>22</v>
      </c>
      <c r="B49" s="18"/>
      <c r="C49" s="19"/>
      <c r="E49" s="1" t="s">
        <v>17</v>
      </c>
      <c r="F49" s="1">
        <v>1.8</v>
      </c>
      <c r="G49" s="1">
        <v>1.8</v>
      </c>
    </row>
    <row r="50" spans="1:7" x14ac:dyDescent="0.3">
      <c r="A50" s="14" t="s">
        <v>18</v>
      </c>
      <c r="B50" s="14"/>
      <c r="C50" s="15"/>
      <c r="E50" s="1" t="s">
        <v>11</v>
      </c>
      <c r="F50" s="1">
        <v>40</v>
      </c>
      <c r="G50" s="1">
        <v>20</v>
      </c>
    </row>
    <row r="51" spans="1:7" x14ac:dyDescent="0.3">
      <c r="A51" s="16" t="s">
        <v>6</v>
      </c>
      <c r="B51" s="16"/>
      <c r="C51" s="17"/>
      <c r="E51" s="1" t="s">
        <v>12</v>
      </c>
      <c r="F51" s="1">
        <v>1</v>
      </c>
      <c r="G51" s="1">
        <v>1</v>
      </c>
    </row>
    <row r="52" spans="1:7" x14ac:dyDescent="0.3">
      <c r="A52" s="1" t="s">
        <v>1</v>
      </c>
      <c r="B52" s="1" t="s">
        <v>3</v>
      </c>
      <c r="C52" s="1" t="s">
        <v>2</v>
      </c>
    </row>
    <row r="53" spans="1:7" x14ac:dyDescent="0.3">
      <c r="A53" s="2" t="s">
        <v>5</v>
      </c>
      <c r="B53" s="1" t="s">
        <v>7</v>
      </c>
      <c r="C53" s="1" t="s">
        <v>8</v>
      </c>
    </row>
    <row r="54" spans="1:7" x14ac:dyDescent="0.3">
      <c r="A54" s="1"/>
      <c r="B54" s="1">
        <f>-F54</f>
        <v>0.54910000000000003</v>
      </c>
      <c r="C54" s="1">
        <f>G54</f>
        <v>0.43919999999999998</v>
      </c>
      <c r="E54" s="1" t="s">
        <v>10</v>
      </c>
      <c r="F54" s="3">
        <v>-0.54910000000000003</v>
      </c>
      <c r="G54" s="3">
        <v>0.43919999999999998</v>
      </c>
    </row>
    <row r="55" spans="1:7" x14ac:dyDescent="0.3">
      <c r="A55" s="1"/>
      <c r="B55" s="1">
        <f>F55*10^6/(F50/F51)</f>
        <v>57.274999999999999</v>
      </c>
      <c r="C55" s="1">
        <f>G55*10^6/(G50/G51)</f>
        <v>342.9</v>
      </c>
      <c r="E55" s="1" t="s">
        <v>9</v>
      </c>
      <c r="F55" s="3">
        <v>2.2910000000000001E-3</v>
      </c>
      <c r="G55" s="3">
        <v>6.8580000000000004E-3</v>
      </c>
    </row>
    <row r="56" spans="1:7" x14ac:dyDescent="0.3">
      <c r="A56" s="1"/>
      <c r="B56" s="5">
        <f>-1/F57/F58</f>
        <v>51.449999999999996</v>
      </c>
      <c r="C56" s="6">
        <f>1/G57/G58</f>
        <v>207.49999999999997</v>
      </c>
      <c r="E56" s="1" t="s">
        <v>13</v>
      </c>
      <c r="F56" s="3">
        <v>1.029E-6</v>
      </c>
      <c r="G56" s="3">
        <v>4.1500000000000001E-6</v>
      </c>
    </row>
    <row r="57" spans="1:7" x14ac:dyDescent="0.3">
      <c r="A57" s="1"/>
      <c r="B57" s="1">
        <f>F59/F50/F51*10^15</f>
        <v>6.4224999999999994</v>
      </c>
      <c r="C57" s="1">
        <f>G59/G50/G51*10^15</f>
        <v>6.5049999999999999</v>
      </c>
      <c r="E57" s="7" t="s">
        <v>14</v>
      </c>
      <c r="F57" s="8">
        <f>1*10^(-3)/F56</f>
        <v>971.81729834791065</v>
      </c>
      <c r="G57" s="8">
        <f>10^(-3)/G56</f>
        <v>240.96385542168676</v>
      </c>
    </row>
    <row r="58" spans="1:7" x14ac:dyDescent="0.3">
      <c r="A58" s="1"/>
      <c r="B58" s="6">
        <f>F59*10^15</f>
        <v>256.89999999999998</v>
      </c>
      <c r="C58" s="6">
        <f>G59*10^15</f>
        <v>130.1</v>
      </c>
      <c r="E58" s="1" t="s">
        <v>15</v>
      </c>
      <c r="F58" s="3">
        <v>-2.0000000000000002E-5</v>
      </c>
      <c r="G58" s="3">
        <v>2.0000000000000002E-5</v>
      </c>
    </row>
    <row r="59" spans="1:7" x14ac:dyDescent="0.3">
      <c r="A59" s="1"/>
      <c r="B59" s="5">
        <f>F49/(B55/2*(F49-B54)^2)*1000</f>
        <v>40.169110776849223</v>
      </c>
      <c r="C59" s="4">
        <f>G49/(C55/2*(G49-C54)^2)*1000</f>
        <v>5.669521602800863</v>
      </c>
      <c r="E59" s="1" t="s">
        <v>16</v>
      </c>
      <c r="F59" s="3">
        <v>2.569E-13</v>
      </c>
      <c r="G59" s="3">
        <v>1.301E-13</v>
      </c>
    </row>
  </sheetData>
  <mergeCells count="15">
    <mergeCell ref="A1:C1"/>
    <mergeCell ref="A2:C2"/>
    <mergeCell ref="A3:C3"/>
    <mergeCell ref="A13:C13"/>
    <mergeCell ref="A14:C14"/>
    <mergeCell ref="A15:C15"/>
    <mergeCell ref="A25:C25"/>
    <mergeCell ref="A26:C26"/>
    <mergeCell ref="A27:C27"/>
    <mergeCell ref="A37:C37"/>
    <mergeCell ref="A38:C38"/>
    <mergeCell ref="A39:C39"/>
    <mergeCell ref="A49:C49"/>
    <mergeCell ref="A50:C50"/>
    <mergeCell ref="A51:C5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10u </vt:lpstr>
      <vt:lpstr>20u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銘展 蔡</cp:lastModifiedBy>
  <dcterms:created xsi:type="dcterms:W3CDTF">2015-06-05T18:19:34Z</dcterms:created>
  <dcterms:modified xsi:type="dcterms:W3CDTF">2025-05-01T08:29:01Z</dcterms:modified>
</cp:coreProperties>
</file>