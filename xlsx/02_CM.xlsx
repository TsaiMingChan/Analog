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mixed_signal\"/>
    </mc:Choice>
  </mc:AlternateContent>
  <xr:revisionPtr revIDLastSave="0" documentId="13_ncr:1_{E8F5650F-F0E8-449B-99AF-97FC050789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E32" i="1"/>
  <c r="D32" i="1"/>
  <c r="C32" i="1"/>
  <c r="C35" i="1" s="1"/>
  <c r="F14" i="1"/>
  <c r="E14" i="1"/>
  <c r="D14" i="1"/>
  <c r="C14" i="1"/>
  <c r="D25" i="1"/>
  <c r="E25" i="1"/>
  <c r="F25" i="1"/>
  <c r="C25" i="1"/>
  <c r="C24" i="1"/>
  <c r="D24" i="1"/>
  <c r="E24" i="1"/>
  <c r="F24" i="1"/>
  <c r="B24" i="1"/>
  <c r="F35" i="1"/>
  <c r="E35" i="1"/>
  <c r="D35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D17" i="1"/>
  <c r="C17" i="1"/>
  <c r="B12" i="1"/>
  <c r="C12" i="1"/>
  <c r="D12" i="1"/>
  <c r="E12" i="1"/>
  <c r="F12" i="1"/>
  <c r="B13" i="1"/>
  <c r="C13" i="1"/>
  <c r="D13" i="1"/>
  <c r="E13" i="1"/>
  <c r="F13" i="1"/>
  <c r="C11" i="1"/>
  <c r="D11" i="1"/>
  <c r="E11" i="1"/>
  <c r="F11" i="1"/>
  <c r="B11" i="1"/>
  <c r="D7" i="1"/>
  <c r="E7" i="1"/>
  <c r="F7" i="1"/>
  <c r="C7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C3" i="1"/>
  <c r="D3" i="1"/>
  <c r="E3" i="1"/>
  <c r="F3" i="1"/>
  <c r="B3" i="1"/>
  <c r="E17" i="1" l="1"/>
  <c r="F17" i="1"/>
</calcChain>
</file>

<file path=xl/sharedStrings.xml><?xml version="1.0" encoding="utf-8"?>
<sst xmlns="http://schemas.openxmlformats.org/spreadsheetml/2006/main" count="88" uniqueCount="24">
  <si>
    <t>HSPICE</t>
    <phoneticPr fontId="1" type="noConversion"/>
  </si>
  <si>
    <t>model</t>
    <phoneticPr fontId="1" type="noConversion"/>
  </si>
  <si>
    <t>mn1</t>
    <phoneticPr fontId="1" type="noConversion"/>
  </si>
  <si>
    <t>mn2</t>
    <phoneticPr fontId="1" type="noConversion"/>
  </si>
  <si>
    <t>mn3</t>
    <phoneticPr fontId="1" type="noConversion"/>
  </si>
  <si>
    <t>mn4</t>
    <phoneticPr fontId="1" type="noConversion"/>
  </si>
  <si>
    <t>mn5</t>
    <phoneticPr fontId="1" type="noConversion"/>
  </si>
  <si>
    <t>width</t>
    <phoneticPr fontId="1" type="noConversion"/>
  </si>
  <si>
    <t>length</t>
    <phoneticPr fontId="1" type="noConversion"/>
  </si>
  <si>
    <t>m</t>
    <phoneticPr fontId="1" type="noConversion"/>
  </si>
  <si>
    <t>Id</t>
    <phoneticPr fontId="1" type="noConversion"/>
  </si>
  <si>
    <t>R</t>
    <phoneticPr fontId="1" type="noConversion"/>
  </si>
  <si>
    <t>Vds</t>
    <phoneticPr fontId="1" type="noConversion"/>
  </si>
  <si>
    <t>VDD</t>
    <phoneticPr fontId="1" type="noConversion"/>
  </si>
  <si>
    <t>-</t>
    <phoneticPr fontId="1" type="noConversion"/>
  </si>
  <si>
    <t>Hand</t>
    <phoneticPr fontId="1" type="noConversion"/>
  </si>
  <si>
    <t>NMOS</t>
    <phoneticPr fontId="1" type="noConversion"/>
  </si>
  <si>
    <t>PMOS</t>
    <phoneticPr fontId="1" type="noConversion"/>
  </si>
  <si>
    <t>mp1</t>
    <phoneticPr fontId="1" type="noConversion"/>
  </si>
  <si>
    <t>mp2</t>
    <phoneticPr fontId="1" type="noConversion"/>
  </si>
  <si>
    <t>mp3</t>
    <phoneticPr fontId="1" type="noConversion"/>
  </si>
  <si>
    <t>mp4</t>
    <phoneticPr fontId="1" type="noConversion"/>
  </si>
  <si>
    <t>mp5</t>
    <phoneticPr fontId="1" type="noConversion"/>
  </si>
  <si>
    <r>
      <t>R(</t>
    </r>
    <r>
      <rPr>
        <sz val="11"/>
        <color theme="1"/>
        <rFont val="Calibri"/>
        <family val="1"/>
        <charset val="161"/>
      </rPr>
      <t>Ω</t>
    </r>
    <r>
      <rPr>
        <sz val="11"/>
        <color theme="1"/>
        <rFont val="新細明體"/>
        <family val="2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</si>
</sst>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libri"/>
      <family val="1"/>
      <charset val="161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4" borderId="2" xfId="0" applyFill="1" applyBorder="1"/>
    <xf numFmtId="0" fontId="0" fillId="0" borderId="2" xfId="0" applyBorder="1"/>
    <xf numFmtId="11" fontId="0" fillId="0" borderId="1" xfId="0" applyNumberFormat="1" applyBorder="1"/>
    <xf numFmtId="0" fontId="0" fillId="3" borderId="1" xfId="0" applyFill="1" applyBorder="1"/>
    <xf numFmtId="0" fontId="0" fillId="5" borderId="2" xfId="0" applyFill="1" applyBorder="1"/>
    <xf numFmtId="0" fontId="0" fillId="2" borderId="1" xfId="0" applyFill="1" applyBorder="1"/>
    <xf numFmtId="0" fontId="0" fillId="6" borderId="1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showGridLines="0" tabSelected="1" workbookViewId="0">
      <selection activeCell="L15" sqref="L15"/>
    </sheetView>
  </sheetViews>
  <sheetFormatPr defaultRowHeight="14.5" x14ac:dyDescent="0.3"/>
  <cols>
    <col min="2" max="3" width="9.3984375" bestFit="1" customWidth="1"/>
    <col min="9" max="13" width="9.59765625" bestFit="1" customWidth="1"/>
  </cols>
  <sheetData>
    <row r="1" spans="1:13" x14ac:dyDescent="0.3">
      <c r="A1" s="2" t="s">
        <v>0</v>
      </c>
      <c r="B1" s="3" t="s">
        <v>16</v>
      </c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H2" s="8" t="s">
        <v>1</v>
      </c>
      <c r="I2" s="8" t="s">
        <v>2</v>
      </c>
      <c r="J2" s="8" t="s">
        <v>3</v>
      </c>
      <c r="K2" s="8" t="s">
        <v>4</v>
      </c>
      <c r="L2" s="8" t="s">
        <v>5</v>
      </c>
      <c r="M2" s="8" t="s">
        <v>6</v>
      </c>
    </row>
    <row r="3" spans="1:13" x14ac:dyDescent="0.3">
      <c r="A3" s="1" t="s">
        <v>7</v>
      </c>
      <c r="B3" s="1">
        <f>I3</f>
        <v>20</v>
      </c>
      <c r="C3" s="1">
        <f t="shared" ref="C3:F3" si="0">J3</f>
        <v>20</v>
      </c>
      <c r="D3" s="1">
        <f t="shared" si="0"/>
        <v>20</v>
      </c>
      <c r="E3" s="1">
        <f t="shared" si="0"/>
        <v>20</v>
      </c>
      <c r="F3" s="1">
        <f t="shared" si="0"/>
        <v>20</v>
      </c>
      <c r="H3" s="1" t="s">
        <v>7</v>
      </c>
      <c r="I3" s="1">
        <v>20</v>
      </c>
      <c r="J3" s="1">
        <v>20</v>
      </c>
      <c r="K3" s="1">
        <v>20</v>
      </c>
      <c r="L3" s="1">
        <v>20</v>
      </c>
      <c r="M3" s="1">
        <v>20</v>
      </c>
    </row>
    <row r="4" spans="1:13" x14ac:dyDescent="0.3">
      <c r="A4" s="1" t="s">
        <v>8</v>
      </c>
      <c r="B4" s="1">
        <f t="shared" ref="B4:B6" si="1">I4</f>
        <v>1</v>
      </c>
      <c r="C4" s="1">
        <f t="shared" ref="C4:C6" si="2">J4</f>
        <v>1</v>
      </c>
      <c r="D4" s="1">
        <f t="shared" ref="D4:D6" si="3">K4</f>
        <v>1</v>
      </c>
      <c r="E4" s="1">
        <f t="shared" ref="E4:E6" si="4">L4</f>
        <v>1</v>
      </c>
      <c r="F4" s="1">
        <f t="shared" ref="F4:F6" si="5">M4</f>
        <v>1</v>
      </c>
      <c r="H4" s="1" t="s">
        <v>8</v>
      </c>
      <c r="I4" s="1">
        <v>1</v>
      </c>
      <c r="J4" s="1">
        <v>1</v>
      </c>
      <c r="K4" s="1">
        <v>1</v>
      </c>
      <c r="L4" s="1">
        <v>1</v>
      </c>
      <c r="M4" s="1">
        <v>1</v>
      </c>
    </row>
    <row r="5" spans="1:13" x14ac:dyDescent="0.3">
      <c r="A5" s="1" t="s">
        <v>9</v>
      </c>
      <c r="B5" s="1">
        <f t="shared" si="1"/>
        <v>1</v>
      </c>
      <c r="C5" s="1">
        <f t="shared" si="2"/>
        <v>1</v>
      </c>
      <c r="D5" s="1">
        <f t="shared" si="3"/>
        <v>4</v>
      </c>
      <c r="E5" s="1">
        <f t="shared" si="4"/>
        <v>8</v>
      </c>
      <c r="F5" s="1">
        <f t="shared" si="5"/>
        <v>10</v>
      </c>
      <c r="H5" s="1" t="s">
        <v>9</v>
      </c>
      <c r="I5" s="1">
        <v>1</v>
      </c>
      <c r="J5" s="1">
        <v>1</v>
      </c>
      <c r="K5" s="1">
        <v>4</v>
      </c>
      <c r="L5" s="1">
        <v>8</v>
      </c>
      <c r="M5" s="1">
        <v>10</v>
      </c>
    </row>
    <row r="6" spans="1:13" x14ac:dyDescent="0.3">
      <c r="A6" s="1" t="s">
        <v>10</v>
      </c>
      <c r="B6" s="1">
        <f t="shared" si="1"/>
        <v>2.2000000000000001E-4</v>
      </c>
      <c r="C6" s="1">
        <f t="shared" si="2"/>
        <v>2.3570000000000001E-4</v>
      </c>
      <c r="D6" s="1">
        <f t="shared" si="3"/>
        <v>9.4280000000000004E-4</v>
      </c>
      <c r="E6" s="1">
        <f t="shared" si="4"/>
        <v>1.8860000000000001E-3</v>
      </c>
      <c r="F6" s="1">
        <f t="shared" si="5"/>
        <v>2.3570000000000002E-3</v>
      </c>
      <c r="H6" s="1" t="s">
        <v>10</v>
      </c>
      <c r="I6" s="4">
        <v>2.2000000000000001E-4</v>
      </c>
      <c r="J6" s="4">
        <v>2.3570000000000001E-4</v>
      </c>
      <c r="K6" s="4">
        <v>9.4280000000000004E-4</v>
      </c>
      <c r="L6" s="4">
        <v>1.8860000000000001E-3</v>
      </c>
      <c r="M6" s="4">
        <v>2.3570000000000002E-3</v>
      </c>
    </row>
    <row r="7" spans="1:13" x14ac:dyDescent="0.3">
      <c r="A7" s="1" t="s">
        <v>12</v>
      </c>
      <c r="B7" s="4" t="s">
        <v>14</v>
      </c>
      <c r="C7" s="1">
        <f>J7-J6*J8</f>
        <v>1.5643</v>
      </c>
      <c r="D7" s="1">
        <f t="shared" ref="D7:F7" si="6">K7-K6*K8</f>
        <v>1.5643</v>
      </c>
      <c r="E7" s="1">
        <f t="shared" si="6"/>
        <v>1.5642499999999999</v>
      </c>
      <c r="F7" s="1">
        <f t="shared" si="6"/>
        <v>1.5643</v>
      </c>
      <c r="H7" s="1" t="s">
        <v>13</v>
      </c>
      <c r="I7" s="5">
        <v>1.8</v>
      </c>
      <c r="J7" s="5">
        <v>1.8</v>
      </c>
      <c r="K7" s="5">
        <v>1.8</v>
      </c>
      <c r="L7" s="5">
        <v>1.8</v>
      </c>
      <c r="M7" s="5">
        <v>1.8</v>
      </c>
    </row>
    <row r="8" spans="1:13" ht="15" x14ac:dyDescent="0.35">
      <c r="H8" s="1" t="s">
        <v>23</v>
      </c>
      <c r="I8" s="1" t="s">
        <v>14</v>
      </c>
      <c r="J8" s="1">
        <v>1000</v>
      </c>
      <c r="K8" s="1">
        <v>250</v>
      </c>
      <c r="L8" s="1">
        <v>125</v>
      </c>
      <c r="M8" s="1">
        <v>100</v>
      </c>
    </row>
    <row r="9" spans="1:13" x14ac:dyDescent="0.3">
      <c r="A9" s="6" t="s">
        <v>15</v>
      </c>
      <c r="B9" s="3" t="s">
        <v>16</v>
      </c>
    </row>
    <row r="10" spans="1:13" x14ac:dyDescent="0.3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</row>
    <row r="11" spans="1:13" x14ac:dyDescent="0.3">
      <c r="A11" s="1" t="s">
        <v>7</v>
      </c>
      <c r="B11" s="1">
        <f>I3</f>
        <v>20</v>
      </c>
      <c r="C11" s="1">
        <f t="shared" ref="C11:F11" si="7">J3</f>
        <v>20</v>
      </c>
      <c r="D11" s="1">
        <f t="shared" si="7"/>
        <v>20</v>
      </c>
      <c r="E11" s="1">
        <f t="shared" si="7"/>
        <v>20</v>
      </c>
      <c r="F11" s="1">
        <f t="shared" si="7"/>
        <v>20</v>
      </c>
    </row>
    <row r="12" spans="1:13" x14ac:dyDescent="0.3">
      <c r="A12" s="1" t="s">
        <v>8</v>
      </c>
      <c r="B12" s="1">
        <f t="shared" ref="B12:B13" si="8">I4</f>
        <v>1</v>
      </c>
      <c r="C12" s="1">
        <f t="shared" ref="C12:C13" si="9">J4</f>
        <v>1</v>
      </c>
      <c r="D12" s="1">
        <f t="shared" ref="D12:D13" si="10">K4</f>
        <v>1</v>
      </c>
      <c r="E12" s="1">
        <f t="shared" ref="E12:E13" si="11">L4</f>
        <v>1</v>
      </c>
      <c r="F12" s="1">
        <f t="shared" ref="F12:F13" si="12">M4</f>
        <v>1</v>
      </c>
    </row>
    <row r="13" spans="1:13" x14ac:dyDescent="0.3">
      <c r="A13" s="1" t="s">
        <v>9</v>
      </c>
      <c r="B13" s="1">
        <f t="shared" si="8"/>
        <v>1</v>
      </c>
      <c r="C13" s="1">
        <f t="shared" si="9"/>
        <v>1</v>
      </c>
      <c r="D13" s="1">
        <f t="shared" si="10"/>
        <v>4</v>
      </c>
      <c r="E13" s="1">
        <f t="shared" si="11"/>
        <v>8</v>
      </c>
      <c r="F13" s="1">
        <f t="shared" si="12"/>
        <v>10</v>
      </c>
    </row>
    <row r="14" spans="1:13" x14ac:dyDescent="0.3">
      <c r="A14" s="1" t="s">
        <v>10</v>
      </c>
      <c r="B14" s="1">
        <v>2.2000000000000001E-4</v>
      </c>
      <c r="C14" s="7">
        <f>B14*C13</f>
        <v>2.2000000000000001E-4</v>
      </c>
      <c r="D14" s="7">
        <f>B14*D13</f>
        <v>8.8000000000000003E-4</v>
      </c>
      <c r="E14" s="7">
        <f>B14*E13</f>
        <v>1.7600000000000001E-3</v>
      </c>
      <c r="F14" s="7">
        <f>B14*F13</f>
        <v>2.2000000000000001E-3</v>
      </c>
    </row>
    <row r="15" spans="1:13" x14ac:dyDescent="0.3">
      <c r="A15" s="1" t="s">
        <v>13</v>
      </c>
      <c r="B15" s="5">
        <v>1.8</v>
      </c>
      <c r="C15" s="5">
        <v>1.8</v>
      </c>
      <c r="D15" s="5">
        <v>1.8</v>
      </c>
      <c r="E15" s="5">
        <v>1.8</v>
      </c>
      <c r="F15" s="5">
        <v>1.8</v>
      </c>
    </row>
    <row r="16" spans="1:13" x14ac:dyDescent="0.3">
      <c r="A16" s="1" t="s">
        <v>11</v>
      </c>
      <c r="B16" s="1" t="s">
        <v>14</v>
      </c>
      <c r="C16" s="1">
        <v>1000</v>
      </c>
      <c r="D16" s="1">
        <v>250</v>
      </c>
      <c r="E16" s="1">
        <v>125</v>
      </c>
      <c r="F16" s="1">
        <v>100</v>
      </c>
    </row>
    <row r="17" spans="1:13" x14ac:dyDescent="0.3">
      <c r="A17" s="1" t="s">
        <v>12</v>
      </c>
      <c r="B17" s="1" t="s">
        <v>14</v>
      </c>
      <c r="C17" s="1">
        <f>C15-C14*C16</f>
        <v>1.58</v>
      </c>
      <c r="D17" s="1">
        <f t="shared" ref="D17:F17" si="13">D15-D14*D16</f>
        <v>1.58</v>
      </c>
      <c r="E17" s="1">
        <f t="shared" si="13"/>
        <v>1.58</v>
      </c>
      <c r="F17" s="1">
        <f t="shared" si="13"/>
        <v>1.58</v>
      </c>
    </row>
    <row r="19" spans="1:13" x14ac:dyDescent="0.3">
      <c r="A19" s="2" t="s">
        <v>0</v>
      </c>
      <c r="B19" s="3" t="s">
        <v>17</v>
      </c>
    </row>
    <row r="20" spans="1:13" x14ac:dyDescent="0.3">
      <c r="A20" s="1" t="s">
        <v>1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H20" s="8" t="s">
        <v>1</v>
      </c>
      <c r="I20" s="8" t="s">
        <v>18</v>
      </c>
      <c r="J20" s="8" t="s">
        <v>19</v>
      </c>
      <c r="K20" s="8" t="s">
        <v>20</v>
      </c>
      <c r="L20" s="8" t="s">
        <v>21</v>
      </c>
      <c r="M20" s="8" t="s">
        <v>22</v>
      </c>
    </row>
    <row r="21" spans="1:13" x14ac:dyDescent="0.3">
      <c r="A21" s="1" t="s">
        <v>7</v>
      </c>
      <c r="B21" s="1">
        <f>I21</f>
        <v>40</v>
      </c>
      <c r="C21" s="1">
        <f t="shared" ref="C21:C23" si="14">J21</f>
        <v>40</v>
      </c>
      <c r="D21" s="1">
        <f t="shared" ref="D21:D23" si="15">K21</f>
        <v>40</v>
      </c>
      <c r="E21" s="1">
        <f t="shared" ref="E21:E23" si="16">L21</f>
        <v>40</v>
      </c>
      <c r="F21" s="1">
        <f t="shared" ref="F21:F23" si="17">M21</f>
        <v>40</v>
      </c>
      <c r="H21" s="1" t="s">
        <v>7</v>
      </c>
      <c r="I21" s="1">
        <v>40</v>
      </c>
      <c r="J21" s="1">
        <v>40</v>
      </c>
      <c r="K21" s="1">
        <v>40</v>
      </c>
      <c r="L21" s="1">
        <v>40</v>
      </c>
      <c r="M21" s="1">
        <v>40</v>
      </c>
    </row>
    <row r="22" spans="1:13" x14ac:dyDescent="0.3">
      <c r="A22" s="1" t="s">
        <v>8</v>
      </c>
      <c r="B22" s="1">
        <f t="shared" ref="B22:B23" si="18">I22</f>
        <v>1</v>
      </c>
      <c r="C22" s="1">
        <f t="shared" si="14"/>
        <v>1</v>
      </c>
      <c r="D22" s="1">
        <f t="shared" si="15"/>
        <v>1</v>
      </c>
      <c r="E22" s="1">
        <f t="shared" si="16"/>
        <v>1</v>
      </c>
      <c r="F22" s="1">
        <f t="shared" si="17"/>
        <v>1</v>
      </c>
      <c r="H22" s="1" t="s">
        <v>8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</row>
    <row r="23" spans="1:13" x14ac:dyDescent="0.3">
      <c r="A23" s="1" t="s">
        <v>9</v>
      </c>
      <c r="B23" s="1">
        <f t="shared" si="18"/>
        <v>1</v>
      </c>
      <c r="C23" s="1">
        <f t="shared" si="14"/>
        <v>1</v>
      </c>
      <c r="D23" s="1">
        <f t="shared" si="15"/>
        <v>4</v>
      </c>
      <c r="E23" s="1">
        <f t="shared" si="16"/>
        <v>8</v>
      </c>
      <c r="F23" s="1">
        <f t="shared" si="17"/>
        <v>10</v>
      </c>
      <c r="H23" s="1" t="s">
        <v>9</v>
      </c>
      <c r="I23" s="1">
        <v>1</v>
      </c>
      <c r="J23" s="1">
        <v>1</v>
      </c>
      <c r="K23" s="1">
        <v>4</v>
      </c>
      <c r="L23" s="1">
        <v>8</v>
      </c>
      <c r="M23" s="1">
        <v>10</v>
      </c>
    </row>
    <row r="24" spans="1:13" x14ac:dyDescent="0.3">
      <c r="A24" s="1" t="s">
        <v>10</v>
      </c>
      <c r="B24" s="1">
        <f>-I24</f>
        <v>2.2000000000000001E-4</v>
      </c>
      <c r="C24" s="1">
        <f t="shared" ref="C24:F24" si="19">-J24</f>
        <v>2.243E-4</v>
      </c>
      <c r="D24" s="1">
        <f t="shared" si="19"/>
        <v>8.9709999999999996E-4</v>
      </c>
      <c r="E24" s="1">
        <f t="shared" si="19"/>
        <v>1.794E-3</v>
      </c>
      <c r="F24" s="1">
        <f t="shared" si="19"/>
        <v>2.2430000000000002E-3</v>
      </c>
      <c r="H24" s="1" t="s">
        <v>10</v>
      </c>
      <c r="I24" s="4">
        <v>-2.2000000000000001E-4</v>
      </c>
      <c r="J24" s="4">
        <v>-2.243E-4</v>
      </c>
      <c r="K24" s="4">
        <v>-8.9709999999999996E-4</v>
      </c>
      <c r="L24" s="4">
        <v>-1.794E-3</v>
      </c>
      <c r="M24" s="4">
        <v>-2.2430000000000002E-3</v>
      </c>
    </row>
    <row r="25" spans="1:13" x14ac:dyDescent="0.3">
      <c r="A25" s="1" t="s">
        <v>12</v>
      </c>
      <c r="B25" s="4" t="s">
        <v>14</v>
      </c>
      <c r="C25" s="1">
        <f>J25+J24*J26</f>
        <v>1.5757000000000001</v>
      </c>
      <c r="D25" s="1">
        <f t="shared" ref="D25:F25" si="20">K25+K24*K26</f>
        <v>1.575725</v>
      </c>
      <c r="E25" s="1">
        <f t="shared" si="20"/>
        <v>1.57575</v>
      </c>
      <c r="F25" s="1">
        <f t="shared" si="20"/>
        <v>1.5757000000000001</v>
      </c>
      <c r="H25" s="1" t="s">
        <v>13</v>
      </c>
      <c r="I25" s="5">
        <v>1.8</v>
      </c>
      <c r="J25" s="5">
        <v>1.8</v>
      </c>
      <c r="K25" s="5">
        <v>1.8</v>
      </c>
      <c r="L25" s="5">
        <v>1.8</v>
      </c>
      <c r="M25" s="5">
        <v>1.8</v>
      </c>
    </row>
    <row r="26" spans="1:13" x14ac:dyDescent="0.3">
      <c r="H26" s="1" t="s">
        <v>11</v>
      </c>
      <c r="I26" s="1" t="s">
        <v>14</v>
      </c>
      <c r="J26" s="1">
        <v>1000</v>
      </c>
      <c r="K26" s="1">
        <v>250</v>
      </c>
      <c r="L26" s="1">
        <v>125</v>
      </c>
      <c r="M26" s="1">
        <v>100</v>
      </c>
    </row>
    <row r="27" spans="1:13" x14ac:dyDescent="0.3">
      <c r="A27" s="6" t="s">
        <v>15</v>
      </c>
      <c r="B27" s="3" t="s">
        <v>17</v>
      </c>
    </row>
    <row r="28" spans="1:13" x14ac:dyDescent="0.3">
      <c r="A28" s="1" t="s">
        <v>1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</row>
    <row r="29" spans="1:13" x14ac:dyDescent="0.3">
      <c r="A29" s="1" t="s">
        <v>7</v>
      </c>
      <c r="B29" s="1">
        <f>I21</f>
        <v>40</v>
      </c>
      <c r="C29" s="1">
        <f t="shared" ref="C29:C31" si="21">J21</f>
        <v>40</v>
      </c>
      <c r="D29" s="1">
        <f t="shared" ref="D29:D31" si="22">K21</f>
        <v>40</v>
      </c>
      <c r="E29" s="1">
        <f t="shared" ref="E29:E31" si="23">L21</f>
        <v>40</v>
      </c>
      <c r="F29" s="1">
        <f t="shared" ref="F29:F31" si="24">M21</f>
        <v>40</v>
      </c>
    </row>
    <row r="30" spans="1:13" x14ac:dyDescent="0.3">
      <c r="A30" s="1" t="s">
        <v>8</v>
      </c>
      <c r="B30" s="1">
        <f t="shared" ref="B30:B31" si="25">I22</f>
        <v>1</v>
      </c>
      <c r="C30" s="1">
        <f t="shared" si="21"/>
        <v>1</v>
      </c>
      <c r="D30" s="1">
        <f t="shared" si="22"/>
        <v>1</v>
      </c>
      <c r="E30" s="1">
        <f t="shared" si="23"/>
        <v>1</v>
      </c>
      <c r="F30" s="1">
        <f t="shared" si="24"/>
        <v>1</v>
      </c>
    </row>
    <row r="31" spans="1:13" x14ac:dyDescent="0.3">
      <c r="A31" s="1" t="s">
        <v>9</v>
      </c>
      <c r="B31" s="1">
        <f t="shared" si="25"/>
        <v>1</v>
      </c>
      <c r="C31" s="1">
        <f t="shared" si="21"/>
        <v>1</v>
      </c>
      <c r="D31" s="1">
        <f t="shared" si="22"/>
        <v>4</v>
      </c>
      <c r="E31" s="1">
        <f t="shared" si="23"/>
        <v>8</v>
      </c>
      <c r="F31" s="1">
        <f t="shared" si="24"/>
        <v>10</v>
      </c>
    </row>
    <row r="32" spans="1:13" x14ac:dyDescent="0.3">
      <c r="A32" s="1" t="s">
        <v>10</v>
      </c>
      <c r="B32" s="1">
        <v>2.2000000000000001E-4</v>
      </c>
      <c r="C32" s="7">
        <f>B32*C31</f>
        <v>2.2000000000000001E-4</v>
      </c>
      <c r="D32" s="7">
        <f>B32*D31</f>
        <v>8.8000000000000003E-4</v>
      </c>
      <c r="E32" s="7">
        <f>B32*E31</f>
        <v>1.7600000000000001E-3</v>
      </c>
      <c r="F32" s="7">
        <f>B32*F31</f>
        <v>2.2000000000000001E-3</v>
      </c>
    </row>
    <row r="33" spans="1:6" x14ac:dyDescent="0.3">
      <c r="A33" s="1" t="s">
        <v>13</v>
      </c>
      <c r="B33" s="5">
        <v>1.8</v>
      </c>
      <c r="C33" s="5">
        <v>1.8</v>
      </c>
      <c r="D33" s="5">
        <v>1.8</v>
      </c>
      <c r="E33" s="5">
        <v>1.8</v>
      </c>
      <c r="F33" s="5">
        <v>1.8</v>
      </c>
    </row>
    <row r="34" spans="1:6" x14ac:dyDescent="0.3">
      <c r="A34" s="1" t="s">
        <v>11</v>
      </c>
      <c r="B34" s="1" t="s">
        <v>14</v>
      </c>
      <c r="C34" s="1">
        <v>1000</v>
      </c>
      <c r="D34" s="1">
        <v>250</v>
      </c>
      <c r="E34" s="1">
        <v>125</v>
      </c>
      <c r="F34" s="1">
        <v>100</v>
      </c>
    </row>
    <row r="35" spans="1:6" x14ac:dyDescent="0.3">
      <c r="A35" s="1" t="s">
        <v>12</v>
      </c>
      <c r="B35" s="1" t="s">
        <v>14</v>
      </c>
      <c r="C35" s="1">
        <f>C33-C32*C34</f>
        <v>1.58</v>
      </c>
      <c r="D35" s="1">
        <f t="shared" ref="D35" si="26">D33-D32*D34</f>
        <v>1.58</v>
      </c>
      <c r="E35" s="1">
        <f t="shared" ref="E35" si="27">E33-E32*E34</f>
        <v>1.58</v>
      </c>
      <c r="F35" s="1">
        <f t="shared" ref="F35" si="28">F33-F32*F34</f>
        <v>1.58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銘展 蔡</cp:lastModifiedBy>
  <dcterms:created xsi:type="dcterms:W3CDTF">2015-06-05T18:19:34Z</dcterms:created>
  <dcterms:modified xsi:type="dcterms:W3CDTF">2025-05-01T08:47:03Z</dcterms:modified>
</cp:coreProperties>
</file>